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odfred\Desktop\"/>
    </mc:Choice>
  </mc:AlternateContent>
  <xr:revisionPtr revIDLastSave="0" documentId="13_ncr:1_{521C9F67-0209-49FA-A02A-3067C65E29D5}" xr6:coauthVersionLast="46" xr6:coauthVersionMax="46" xr10:uidLastSave="{00000000-0000-0000-0000-000000000000}"/>
  <bookViews>
    <workbookView xWindow="-120" yWindow="-120" windowWidth="20730" windowHeight="11760" xr2:uid="{16D154B8-5252-475B-A575-B0E13B48E40F}"/>
  </bookViews>
  <sheets>
    <sheet name="CENTRAL DIFFERENCE " sheetId="1" r:id="rId1"/>
    <sheet name="EL CENTRO " sheetId="3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1" l="1"/>
  <c r="G1" i="3" l="1"/>
  <c r="G1" i="1"/>
  <c r="G2" i="1"/>
  <c r="D3" i="1"/>
  <c r="L4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N17" i="1"/>
  <c r="N16" i="1"/>
  <c r="C1561" i="3"/>
  <c r="E3" i="3"/>
  <c r="D3" i="3"/>
  <c r="Q7" i="3"/>
  <c r="Q6" i="3"/>
  <c r="Q5" i="3"/>
  <c r="C5" i="1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416" i="3"/>
  <c r="C417" i="3"/>
  <c r="C418" i="3"/>
  <c r="C419" i="3"/>
  <c r="C420" i="3"/>
  <c r="C421" i="3"/>
  <c r="C422" i="3"/>
  <c r="C423" i="3"/>
  <c r="C424" i="3"/>
  <c r="C425" i="3"/>
  <c r="C426" i="3"/>
  <c r="C427" i="3"/>
  <c r="C428" i="3"/>
  <c r="C429" i="3"/>
  <c r="C430" i="3"/>
  <c r="C431" i="3"/>
  <c r="C432" i="3"/>
  <c r="C433" i="3"/>
  <c r="C434" i="3"/>
  <c r="C435" i="3"/>
  <c r="C436" i="3"/>
  <c r="C437" i="3"/>
  <c r="C438" i="3"/>
  <c r="C439" i="3"/>
  <c r="C440" i="3"/>
  <c r="C441" i="3"/>
  <c r="C442" i="3"/>
  <c r="C443" i="3"/>
  <c r="C444" i="3"/>
  <c r="C445" i="3"/>
  <c r="C446" i="3"/>
  <c r="C447" i="3"/>
  <c r="C448" i="3"/>
  <c r="C449" i="3"/>
  <c r="C450" i="3"/>
  <c r="C451" i="3"/>
  <c r="C452" i="3"/>
  <c r="C453" i="3"/>
  <c r="C454" i="3"/>
  <c r="C455" i="3"/>
  <c r="C456" i="3"/>
  <c r="C457" i="3"/>
  <c r="C458" i="3"/>
  <c r="C459" i="3"/>
  <c r="C460" i="3"/>
  <c r="C461" i="3"/>
  <c r="C462" i="3"/>
  <c r="C463" i="3"/>
  <c r="C464" i="3"/>
  <c r="C465" i="3"/>
  <c r="C466" i="3"/>
  <c r="C467" i="3"/>
  <c r="C468" i="3"/>
  <c r="C469" i="3"/>
  <c r="C470" i="3"/>
  <c r="C471" i="3"/>
  <c r="C472" i="3"/>
  <c r="C473" i="3"/>
  <c r="C474" i="3"/>
  <c r="C475" i="3"/>
  <c r="C476" i="3"/>
  <c r="C477" i="3"/>
  <c r="C478" i="3"/>
  <c r="C479" i="3"/>
  <c r="C480" i="3"/>
  <c r="C481" i="3"/>
  <c r="C482" i="3"/>
  <c r="C483" i="3"/>
  <c r="C484" i="3"/>
  <c r="C485" i="3"/>
  <c r="C486" i="3"/>
  <c r="C487" i="3"/>
  <c r="C488" i="3"/>
  <c r="C489" i="3"/>
  <c r="C490" i="3"/>
  <c r="C491" i="3"/>
  <c r="C492" i="3"/>
  <c r="C493" i="3"/>
  <c r="C494" i="3"/>
  <c r="C495" i="3"/>
  <c r="C496" i="3"/>
  <c r="C497" i="3"/>
  <c r="C498" i="3"/>
  <c r="C499" i="3"/>
  <c r="C500" i="3"/>
  <c r="C501" i="3"/>
  <c r="C502" i="3"/>
  <c r="C503" i="3"/>
  <c r="C504" i="3"/>
  <c r="C505" i="3"/>
  <c r="C506" i="3"/>
  <c r="C507" i="3"/>
  <c r="C508" i="3"/>
  <c r="C509" i="3"/>
  <c r="C510" i="3"/>
  <c r="C511" i="3"/>
  <c r="C512" i="3"/>
  <c r="C513" i="3"/>
  <c r="C514" i="3"/>
  <c r="C515" i="3"/>
  <c r="C516" i="3"/>
  <c r="C517" i="3"/>
  <c r="C518" i="3"/>
  <c r="C519" i="3"/>
  <c r="C520" i="3"/>
  <c r="C521" i="3"/>
  <c r="C522" i="3"/>
  <c r="C523" i="3"/>
  <c r="C524" i="3"/>
  <c r="C525" i="3"/>
  <c r="C526" i="3"/>
  <c r="C527" i="3"/>
  <c r="C528" i="3"/>
  <c r="C529" i="3"/>
  <c r="C530" i="3"/>
  <c r="C531" i="3"/>
  <c r="C532" i="3"/>
  <c r="C533" i="3"/>
  <c r="C534" i="3"/>
  <c r="C535" i="3"/>
  <c r="C536" i="3"/>
  <c r="C537" i="3"/>
  <c r="C538" i="3"/>
  <c r="C539" i="3"/>
  <c r="C540" i="3"/>
  <c r="C541" i="3"/>
  <c r="C542" i="3"/>
  <c r="C543" i="3"/>
  <c r="C544" i="3"/>
  <c r="C545" i="3"/>
  <c r="C546" i="3"/>
  <c r="C547" i="3"/>
  <c r="C548" i="3"/>
  <c r="C549" i="3"/>
  <c r="C550" i="3"/>
  <c r="C551" i="3"/>
  <c r="C552" i="3"/>
  <c r="C553" i="3"/>
  <c r="C554" i="3"/>
  <c r="C555" i="3"/>
  <c r="C556" i="3"/>
  <c r="C557" i="3"/>
  <c r="C558" i="3"/>
  <c r="C559" i="3"/>
  <c r="C560" i="3"/>
  <c r="C561" i="3"/>
  <c r="C562" i="3"/>
  <c r="C563" i="3"/>
  <c r="C564" i="3"/>
  <c r="C565" i="3"/>
  <c r="C566" i="3"/>
  <c r="C567" i="3"/>
  <c r="C568" i="3"/>
  <c r="C569" i="3"/>
  <c r="C570" i="3"/>
  <c r="C571" i="3"/>
  <c r="C572" i="3"/>
  <c r="C573" i="3"/>
  <c r="C574" i="3"/>
  <c r="C575" i="3"/>
  <c r="C576" i="3"/>
  <c r="C577" i="3"/>
  <c r="C578" i="3"/>
  <c r="C579" i="3"/>
  <c r="C580" i="3"/>
  <c r="C581" i="3"/>
  <c r="C582" i="3"/>
  <c r="C583" i="3"/>
  <c r="C584" i="3"/>
  <c r="C585" i="3"/>
  <c r="C586" i="3"/>
  <c r="C587" i="3"/>
  <c r="C588" i="3"/>
  <c r="C589" i="3"/>
  <c r="C590" i="3"/>
  <c r="C591" i="3"/>
  <c r="C592" i="3"/>
  <c r="C593" i="3"/>
  <c r="C594" i="3"/>
  <c r="C595" i="3"/>
  <c r="C596" i="3"/>
  <c r="C597" i="3"/>
  <c r="C598" i="3"/>
  <c r="C599" i="3"/>
  <c r="C600" i="3"/>
  <c r="C601" i="3"/>
  <c r="C602" i="3"/>
  <c r="C603" i="3"/>
  <c r="C604" i="3"/>
  <c r="C605" i="3"/>
  <c r="C606" i="3"/>
  <c r="C607" i="3"/>
  <c r="C608" i="3"/>
  <c r="C609" i="3"/>
  <c r="C610" i="3"/>
  <c r="C611" i="3"/>
  <c r="C612" i="3"/>
  <c r="C613" i="3"/>
  <c r="C614" i="3"/>
  <c r="C615" i="3"/>
  <c r="C616" i="3"/>
  <c r="C617" i="3"/>
  <c r="C618" i="3"/>
  <c r="C619" i="3"/>
  <c r="C620" i="3"/>
  <c r="C621" i="3"/>
  <c r="C622" i="3"/>
  <c r="C623" i="3"/>
  <c r="C624" i="3"/>
  <c r="C625" i="3"/>
  <c r="C626" i="3"/>
  <c r="C627" i="3"/>
  <c r="C628" i="3"/>
  <c r="C629" i="3"/>
  <c r="C630" i="3"/>
  <c r="C631" i="3"/>
  <c r="C632" i="3"/>
  <c r="C633" i="3"/>
  <c r="C634" i="3"/>
  <c r="C635" i="3"/>
  <c r="C636" i="3"/>
  <c r="C637" i="3"/>
  <c r="C638" i="3"/>
  <c r="C639" i="3"/>
  <c r="C640" i="3"/>
  <c r="C641" i="3"/>
  <c r="C642" i="3"/>
  <c r="C643" i="3"/>
  <c r="C644" i="3"/>
  <c r="C645" i="3"/>
  <c r="C646" i="3"/>
  <c r="C647" i="3"/>
  <c r="C648" i="3"/>
  <c r="C649" i="3"/>
  <c r="C650" i="3"/>
  <c r="C651" i="3"/>
  <c r="C652" i="3"/>
  <c r="C653" i="3"/>
  <c r="C654" i="3"/>
  <c r="C655" i="3"/>
  <c r="C656" i="3"/>
  <c r="C657" i="3"/>
  <c r="C658" i="3"/>
  <c r="C659" i="3"/>
  <c r="C660" i="3"/>
  <c r="C661" i="3"/>
  <c r="C662" i="3"/>
  <c r="C663" i="3"/>
  <c r="C664" i="3"/>
  <c r="C665" i="3"/>
  <c r="C666" i="3"/>
  <c r="C667" i="3"/>
  <c r="C668" i="3"/>
  <c r="C669" i="3"/>
  <c r="C670" i="3"/>
  <c r="C671" i="3"/>
  <c r="C672" i="3"/>
  <c r="C673" i="3"/>
  <c r="C674" i="3"/>
  <c r="C675" i="3"/>
  <c r="C676" i="3"/>
  <c r="C677" i="3"/>
  <c r="C678" i="3"/>
  <c r="C679" i="3"/>
  <c r="C680" i="3"/>
  <c r="C681" i="3"/>
  <c r="C682" i="3"/>
  <c r="C683" i="3"/>
  <c r="C684" i="3"/>
  <c r="C685" i="3"/>
  <c r="C686" i="3"/>
  <c r="C687" i="3"/>
  <c r="C688" i="3"/>
  <c r="C689" i="3"/>
  <c r="C690" i="3"/>
  <c r="C691" i="3"/>
  <c r="C692" i="3"/>
  <c r="C693" i="3"/>
  <c r="C694" i="3"/>
  <c r="C695" i="3"/>
  <c r="C696" i="3"/>
  <c r="C697" i="3"/>
  <c r="C698" i="3"/>
  <c r="C699" i="3"/>
  <c r="C700" i="3"/>
  <c r="C701" i="3"/>
  <c r="C702" i="3"/>
  <c r="C703" i="3"/>
  <c r="C704" i="3"/>
  <c r="C705" i="3"/>
  <c r="C706" i="3"/>
  <c r="C707" i="3"/>
  <c r="C708" i="3"/>
  <c r="C709" i="3"/>
  <c r="C710" i="3"/>
  <c r="C711" i="3"/>
  <c r="C712" i="3"/>
  <c r="C713" i="3"/>
  <c r="C714" i="3"/>
  <c r="C715" i="3"/>
  <c r="C716" i="3"/>
  <c r="C717" i="3"/>
  <c r="C718" i="3"/>
  <c r="C719" i="3"/>
  <c r="C720" i="3"/>
  <c r="C721" i="3"/>
  <c r="C722" i="3"/>
  <c r="C723" i="3"/>
  <c r="C724" i="3"/>
  <c r="C725" i="3"/>
  <c r="C726" i="3"/>
  <c r="C727" i="3"/>
  <c r="C728" i="3"/>
  <c r="C729" i="3"/>
  <c r="C730" i="3"/>
  <c r="C731" i="3"/>
  <c r="C732" i="3"/>
  <c r="C733" i="3"/>
  <c r="C734" i="3"/>
  <c r="C735" i="3"/>
  <c r="C736" i="3"/>
  <c r="C737" i="3"/>
  <c r="C738" i="3"/>
  <c r="C739" i="3"/>
  <c r="C740" i="3"/>
  <c r="C741" i="3"/>
  <c r="C742" i="3"/>
  <c r="C743" i="3"/>
  <c r="C744" i="3"/>
  <c r="C745" i="3"/>
  <c r="C746" i="3"/>
  <c r="C747" i="3"/>
  <c r="C748" i="3"/>
  <c r="C749" i="3"/>
  <c r="C750" i="3"/>
  <c r="C751" i="3"/>
  <c r="C752" i="3"/>
  <c r="C753" i="3"/>
  <c r="C754" i="3"/>
  <c r="C755" i="3"/>
  <c r="C756" i="3"/>
  <c r="C757" i="3"/>
  <c r="C758" i="3"/>
  <c r="C759" i="3"/>
  <c r="C760" i="3"/>
  <c r="C761" i="3"/>
  <c r="C762" i="3"/>
  <c r="C763" i="3"/>
  <c r="C764" i="3"/>
  <c r="C765" i="3"/>
  <c r="C766" i="3"/>
  <c r="C767" i="3"/>
  <c r="C768" i="3"/>
  <c r="C769" i="3"/>
  <c r="C770" i="3"/>
  <c r="C771" i="3"/>
  <c r="C772" i="3"/>
  <c r="C773" i="3"/>
  <c r="C774" i="3"/>
  <c r="C775" i="3"/>
  <c r="C776" i="3"/>
  <c r="C777" i="3"/>
  <c r="C778" i="3"/>
  <c r="C779" i="3"/>
  <c r="C780" i="3"/>
  <c r="C781" i="3"/>
  <c r="C782" i="3"/>
  <c r="C783" i="3"/>
  <c r="C784" i="3"/>
  <c r="C785" i="3"/>
  <c r="C786" i="3"/>
  <c r="C787" i="3"/>
  <c r="C788" i="3"/>
  <c r="C789" i="3"/>
  <c r="C790" i="3"/>
  <c r="C791" i="3"/>
  <c r="C792" i="3"/>
  <c r="C793" i="3"/>
  <c r="C794" i="3"/>
  <c r="C795" i="3"/>
  <c r="C796" i="3"/>
  <c r="C797" i="3"/>
  <c r="C798" i="3"/>
  <c r="C799" i="3"/>
  <c r="C800" i="3"/>
  <c r="C801" i="3"/>
  <c r="C802" i="3"/>
  <c r="C803" i="3"/>
  <c r="C804" i="3"/>
  <c r="C805" i="3"/>
  <c r="C806" i="3"/>
  <c r="C807" i="3"/>
  <c r="C808" i="3"/>
  <c r="C809" i="3"/>
  <c r="C810" i="3"/>
  <c r="C811" i="3"/>
  <c r="C812" i="3"/>
  <c r="C813" i="3"/>
  <c r="C814" i="3"/>
  <c r="C815" i="3"/>
  <c r="C816" i="3"/>
  <c r="C817" i="3"/>
  <c r="C818" i="3"/>
  <c r="C819" i="3"/>
  <c r="C820" i="3"/>
  <c r="C821" i="3"/>
  <c r="C822" i="3"/>
  <c r="C823" i="3"/>
  <c r="C824" i="3"/>
  <c r="C825" i="3"/>
  <c r="C826" i="3"/>
  <c r="C827" i="3"/>
  <c r="C828" i="3"/>
  <c r="C829" i="3"/>
  <c r="C830" i="3"/>
  <c r="C831" i="3"/>
  <c r="C832" i="3"/>
  <c r="C833" i="3"/>
  <c r="C834" i="3"/>
  <c r="C835" i="3"/>
  <c r="C836" i="3"/>
  <c r="C837" i="3"/>
  <c r="C838" i="3"/>
  <c r="C839" i="3"/>
  <c r="C840" i="3"/>
  <c r="C841" i="3"/>
  <c r="C842" i="3"/>
  <c r="C843" i="3"/>
  <c r="C844" i="3"/>
  <c r="C845" i="3"/>
  <c r="C846" i="3"/>
  <c r="C847" i="3"/>
  <c r="C848" i="3"/>
  <c r="C849" i="3"/>
  <c r="C850" i="3"/>
  <c r="C851" i="3"/>
  <c r="C852" i="3"/>
  <c r="C853" i="3"/>
  <c r="C854" i="3"/>
  <c r="C855" i="3"/>
  <c r="C856" i="3"/>
  <c r="C857" i="3"/>
  <c r="C858" i="3"/>
  <c r="C859" i="3"/>
  <c r="C860" i="3"/>
  <c r="C861" i="3"/>
  <c r="C862" i="3"/>
  <c r="C863" i="3"/>
  <c r="C864" i="3"/>
  <c r="C865" i="3"/>
  <c r="C866" i="3"/>
  <c r="C867" i="3"/>
  <c r="C868" i="3"/>
  <c r="C869" i="3"/>
  <c r="C870" i="3"/>
  <c r="C871" i="3"/>
  <c r="C872" i="3"/>
  <c r="C873" i="3"/>
  <c r="C874" i="3"/>
  <c r="C875" i="3"/>
  <c r="C876" i="3"/>
  <c r="C877" i="3"/>
  <c r="C878" i="3"/>
  <c r="C879" i="3"/>
  <c r="C880" i="3"/>
  <c r="C881" i="3"/>
  <c r="C882" i="3"/>
  <c r="C883" i="3"/>
  <c r="C884" i="3"/>
  <c r="C885" i="3"/>
  <c r="C886" i="3"/>
  <c r="C887" i="3"/>
  <c r="C888" i="3"/>
  <c r="C889" i="3"/>
  <c r="C890" i="3"/>
  <c r="C891" i="3"/>
  <c r="C892" i="3"/>
  <c r="C893" i="3"/>
  <c r="C894" i="3"/>
  <c r="C895" i="3"/>
  <c r="C896" i="3"/>
  <c r="C897" i="3"/>
  <c r="C898" i="3"/>
  <c r="C899" i="3"/>
  <c r="C900" i="3"/>
  <c r="C901" i="3"/>
  <c r="C902" i="3"/>
  <c r="C903" i="3"/>
  <c r="C904" i="3"/>
  <c r="C905" i="3"/>
  <c r="C906" i="3"/>
  <c r="C907" i="3"/>
  <c r="C908" i="3"/>
  <c r="C909" i="3"/>
  <c r="C910" i="3"/>
  <c r="C911" i="3"/>
  <c r="C912" i="3"/>
  <c r="C913" i="3"/>
  <c r="C914" i="3"/>
  <c r="C915" i="3"/>
  <c r="C916" i="3"/>
  <c r="C917" i="3"/>
  <c r="C918" i="3"/>
  <c r="C919" i="3"/>
  <c r="C920" i="3"/>
  <c r="C921" i="3"/>
  <c r="C922" i="3"/>
  <c r="C923" i="3"/>
  <c r="C924" i="3"/>
  <c r="C925" i="3"/>
  <c r="C926" i="3"/>
  <c r="C927" i="3"/>
  <c r="C928" i="3"/>
  <c r="C929" i="3"/>
  <c r="C930" i="3"/>
  <c r="C931" i="3"/>
  <c r="C932" i="3"/>
  <c r="C933" i="3"/>
  <c r="C934" i="3"/>
  <c r="C935" i="3"/>
  <c r="C936" i="3"/>
  <c r="C937" i="3"/>
  <c r="C938" i="3"/>
  <c r="C939" i="3"/>
  <c r="C940" i="3"/>
  <c r="C941" i="3"/>
  <c r="C942" i="3"/>
  <c r="C943" i="3"/>
  <c r="C944" i="3"/>
  <c r="C945" i="3"/>
  <c r="C946" i="3"/>
  <c r="C947" i="3"/>
  <c r="C948" i="3"/>
  <c r="C949" i="3"/>
  <c r="C950" i="3"/>
  <c r="C951" i="3"/>
  <c r="C952" i="3"/>
  <c r="C953" i="3"/>
  <c r="C954" i="3"/>
  <c r="C955" i="3"/>
  <c r="C956" i="3"/>
  <c r="C957" i="3"/>
  <c r="C958" i="3"/>
  <c r="C959" i="3"/>
  <c r="C960" i="3"/>
  <c r="C961" i="3"/>
  <c r="C962" i="3"/>
  <c r="C963" i="3"/>
  <c r="C964" i="3"/>
  <c r="C965" i="3"/>
  <c r="C966" i="3"/>
  <c r="C967" i="3"/>
  <c r="C968" i="3"/>
  <c r="C969" i="3"/>
  <c r="C970" i="3"/>
  <c r="C971" i="3"/>
  <c r="C972" i="3"/>
  <c r="C973" i="3"/>
  <c r="C974" i="3"/>
  <c r="C975" i="3"/>
  <c r="C976" i="3"/>
  <c r="C977" i="3"/>
  <c r="C978" i="3"/>
  <c r="C979" i="3"/>
  <c r="C980" i="3"/>
  <c r="C981" i="3"/>
  <c r="C982" i="3"/>
  <c r="C983" i="3"/>
  <c r="C984" i="3"/>
  <c r="C985" i="3"/>
  <c r="C986" i="3"/>
  <c r="C987" i="3"/>
  <c r="C988" i="3"/>
  <c r="C989" i="3"/>
  <c r="C990" i="3"/>
  <c r="C991" i="3"/>
  <c r="C992" i="3"/>
  <c r="C993" i="3"/>
  <c r="C994" i="3"/>
  <c r="C995" i="3"/>
  <c r="C996" i="3"/>
  <c r="C997" i="3"/>
  <c r="C998" i="3"/>
  <c r="C999" i="3"/>
  <c r="C1000" i="3"/>
  <c r="C1001" i="3"/>
  <c r="C1002" i="3"/>
  <c r="C1003" i="3"/>
  <c r="C1004" i="3"/>
  <c r="C1005" i="3"/>
  <c r="C1006" i="3"/>
  <c r="C1007" i="3"/>
  <c r="C1008" i="3"/>
  <c r="C1009" i="3"/>
  <c r="C1010" i="3"/>
  <c r="C1011" i="3"/>
  <c r="C1012" i="3"/>
  <c r="C1013" i="3"/>
  <c r="C1014" i="3"/>
  <c r="C1015" i="3"/>
  <c r="C1016" i="3"/>
  <c r="C1017" i="3"/>
  <c r="C1018" i="3"/>
  <c r="C1019" i="3"/>
  <c r="C1020" i="3"/>
  <c r="C1021" i="3"/>
  <c r="C1022" i="3"/>
  <c r="C1023" i="3"/>
  <c r="C1024" i="3"/>
  <c r="C1025" i="3"/>
  <c r="C1026" i="3"/>
  <c r="C1027" i="3"/>
  <c r="C1028" i="3"/>
  <c r="C1029" i="3"/>
  <c r="C1030" i="3"/>
  <c r="C1031" i="3"/>
  <c r="C1032" i="3"/>
  <c r="C1033" i="3"/>
  <c r="C1034" i="3"/>
  <c r="C1035" i="3"/>
  <c r="C1036" i="3"/>
  <c r="C1037" i="3"/>
  <c r="C1038" i="3"/>
  <c r="C1039" i="3"/>
  <c r="C1040" i="3"/>
  <c r="C1041" i="3"/>
  <c r="C1042" i="3"/>
  <c r="C1043" i="3"/>
  <c r="C1044" i="3"/>
  <c r="C1045" i="3"/>
  <c r="C1046" i="3"/>
  <c r="C1047" i="3"/>
  <c r="C1048" i="3"/>
  <c r="C1049" i="3"/>
  <c r="C1050" i="3"/>
  <c r="C1051" i="3"/>
  <c r="C1052" i="3"/>
  <c r="C1053" i="3"/>
  <c r="C1054" i="3"/>
  <c r="C1055" i="3"/>
  <c r="C1056" i="3"/>
  <c r="C1057" i="3"/>
  <c r="C1058" i="3"/>
  <c r="C1059" i="3"/>
  <c r="C1060" i="3"/>
  <c r="C1061" i="3"/>
  <c r="C1062" i="3"/>
  <c r="C1063" i="3"/>
  <c r="C1064" i="3"/>
  <c r="C1065" i="3"/>
  <c r="C1066" i="3"/>
  <c r="C1067" i="3"/>
  <c r="C1068" i="3"/>
  <c r="C1069" i="3"/>
  <c r="C1070" i="3"/>
  <c r="C1071" i="3"/>
  <c r="C1072" i="3"/>
  <c r="C1073" i="3"/>
  <c r="C1074" i="3"/>
  <c r="C1075" i="3"/>
  <c r="C1076" i="3"/>
  <c r="C1077" i="3"/>
  <c r="C1078" i="3"/>
  <c r="C1079" i="3"/>
  <c r="C1080" i="3"/>
  <c r="C1081" i="3"/>
  <c r="C1082" i="3"/>
  <c r="C1083" i="3"/>
  <c r="C1084" i="3"/>
  <c r="C1085" i="3"/>
  <c r="C1086" i="3"/>
  <c r="C1087" i="3"/>
  <c r="C1088" i="3"/>
  <c r="C1089" i="3"/>
  <c r="C1090" i="3"/>
  <c r="C1091" i="3"/>
  <c r="C1092" i="3"/>
  <c r="C1093" i="3"/>
  <c r="C1094" i="3"/>
  <c r="C1095" i="3"/>
  <c r="C1096" i="3"/>
  <c r="C1097" i="3"/>
  <c r="C1098" i="3"/>
  <c r="C1099" i="3"/>
  <c r="C1100" i="3"/>
  <c r="C1101" i="3"/>
  <c r="C1102" i="3"/>
  <c r="C1103" i="3"/>
  <c r="C1104" i="3"/>
  <c r="C1105" i="3"/>
  <c r="C1106" i="3"/>
  <c r="C1107" i="3"/>
  <c r="C1108" i="3"/>
  <c r="C1109" i="3"/>
  <c r="C1110" i="3"/>
  <c r="C1111" i="3"/>
  <c r="C1112" i="3"/>
  <c r="C1113" i="3"/>
  <c r="C1114" i="3"/>
  <c r="C1115" i="3"/>
  <c r="C1116" i="3"/>
  <c r="C1117" i="3"/>
  <c r="C1118" i="3"/>
  <c r="C1119" i="3"/>
  <c r="C1120" i="3"/>
  <c r="C1121" i="3"/>
  <c r="C1122" i="3"/>
  <c r="C1123" i="3"/>
  <c r="C1124" i="3"/>
  <c r="C1125" i="3"/>
  <c r="C1126" i="3"/>
  <c r="C1127" i="3"/>
  <c r="C1128" i="3"/>
  <c r="C1129" i="3"/>
  <c r="C1130" i="3"/>
  <c r="C1131" i="3"/>
  <c r="C1132" i="3"/>
  <c r="C1133" i="3"/>
  <c r="C1134" i="3"/>
  <c r="C1135" i="3"/>
  <c r="C1136" i="3"/>
  <c r="C1137" i="3"/>
  <c r="C1138" i="3"/>
  <c r="C1139" i="3"/>
  <c r="C1140" i="3"/>
  <c r="C1141" i="3"/>
  <c r="C1142" i="3"/>
  <c r="C1143" i="3"/>
  <c r="C1144" i="3"/>
  <c r="C1145" i="3"/>
  <c r="C1146" i="3"/>
  <c r="C1147" i="3"/>
  <c r="C1148" i="3"/>
  <c r="C1149" i="3"/>
  <c r="C1150" i="3"/>
  <c r="C1151" i="3"/>
  <c r="C1152" i="3"/>
  <c r="C1153" i="3"/>
  <c r="C1154" i="3"/>
  <c r="C1155" i="3"/>
  <c r="C1156" i="3"/>
  <c r="C1157" i="3"/>
  <c r="C1158" i="3"/>
  <c r="C1159" i="3"/>
  <c r="C1160" i="3"/>
  <c r="C1161" i="3"/>
  <c r="C1162" i="3"/>
  <c r="C1163" i="3"/>
  <c r="C1164" i="3"/>
  <c r="C1165" i="3"/>
  <c r="C1166" i="3"/>
  <c r="C1167" i="3"/>
  <c r="C1168" i="3"/>
  <c r="C1169" i="3"/>
  <c r="C1170" i="3"/>
  <c r="C1171" i="3"/>
  <c r="C1172" i="3"/>
  <c r="C1173" i="3"/>
  <c r="C1174" i="3"/>
  <c r="C1175" i="3"/>
  <c r="C1176" i="3"/>
  <c r="C1177" i="3"/>
  <c r="C1178" i="3"/>
  <c r="C1179" i="3"/>
  <c r="C1180" i="3"/>
  <c r="C1181" i="3"/>
  <c r="C1182" i="3"/>
  <c r="C1183" i="3"/>
  <c r="C1184" i="3"/>
  <c r="C1185" i="3"/>
  <c r="C1186" i="3"/>
  <c r="C1187" i="3"/>
  <c r="C1188" i="3"/>
  <c r="C1189" i="3"/>
  <c r="C1190" i="3"/>
  <c r="C1191" i="3"/>
  <c r="C1192" i="3"/>
  <c r="C1193" i="3"/>
  <c r="C1194" i="3"/>
  <c r="C1195" i="3"/>
  <c r="C1196" i="3"/>
  <c r="C1197" i="3"/>
  <c r="C1198" i="3"/>
  <c r="C1199" i="3"/>
  <c r="C1200" i="3"/>
  <c r="C1201" i="3"/>
  <c r="C1202" i="3"/>
  <c r="C1203" i="3"/>
  <c r="C1204" i="3"/>
  <c r="C1205" i="3"/>
  <c r="C1206" i="3"/>
  <c r="C1207" i="3"/>
  <c r="C1208" i="3"/>
  <c r="C1209" i="3"/>
  <c r="C1210" i="3"/>
  <c r="C1211" i="3"/>
  <c r="C1212" i="3"/>
  <c r="C1213" i="3"/>
  <c r="C1214" i="3"/>
  <c r="C1215" i="3"/>
  <c r="C1216" i="3"/>
  <c r="C1217" i="3"/>
  <c r="C1218" i="3"/>
  <c r="C1219" i="3"/>
  <c r="C1220" i="3"/>
  <c r="C1221" i="3"/>
  <c r="C1222" i="3"/>
  <c r="C1223" i="3"/>
  <c r="C1224" i="3"/>
  <c r="C1225" i="3"/>
  <c r="C1226" i="3"/>
  <c r="C1227" i="3"/>
  <c r="C1228" i="3"/>
  <c r="C1229" i="3"/>
  <c r="C1230" i="3"/>
  <c r="C1231" i="3"/>
  <c r="C1232" i="3"/>
  <c r="C1233" i="3"/>
  <c r="C1234" i="3"/>
  <c r="C1235" i="3"/>
  <c r="C1236" i="3"/>
  <c r="C1237" i="3"/>
  <c r="C1238" i="3"/>
  <c r="C1239" i="3"/>
  <c r="C1240" i="3"/>
  <c r="C1241" i="3"/>
  <c r="C1242" i="3"/>
  <c r="C1243" i="3"/>
  <c r="C1244" i="3"/>
  <c r="C1245" i="3"/>
  <c r="C1246" i="3"/>
  <c r="C1247" i="3"/>
  <c r="C1248" i="3"/>
  <c r="C1249" i="3"/>
  <c r="C1250" i="3"/>
  <c r="C1251" i="3"/>
  <c r="C1252" i="3"/>
  <c r="C1253" i="3"/>
  <c r="C1254" i="3"/>
  <c r="C1255" i="3"/>
  <c r="C1256" i="3"/>
  <c r="C1257" i="3"/>
  <c r="C1258" i="3"/>
  <c r="C1259" i="3"/>
  <c r="C1260" i="3"/>
  <c r="C1261" i="3"/>
  <c r="C1262" i="3"/>
  <c r="C1263" i="3"/>
  <c r="C1264" i="3"/>
  <c r="C1265" i="3"/>
  <c r="C1266" i="3"/>
  <c r="C1267" i="3"/>
  <c r="C1268" i="3"/>
  <c r="C1269" i="3"/>
  <c r="C1270" i="3"/>
  <c r="C1271" i="3"/>
  <c r="C1272" i="3"/>
  <c r="C1273" i="3"/>
  <c r="C1274" i="3"/>
  <c r="C1275" i="3"/>
  <c r="C1276" i="3"/>
  <c r="C1277" i="3"/>
  <c r="C1278" i="3"/>
  <c r="C1279" i="3"/>
  <c r="C1280" i="3"/>
  <c r="C1281" i="3"/>
  <c r="C1282" i="3"/>
  <c r="C1283" i="3"/>
  <c r="C1284" i="3"/>
  <c r="C1285" i="3"/>
  <c r="C1286" i="3"/>
  <c r="C1287" i="3"/>
  <c r="C1288" i="3"/>
  <c r="C1289" i="3"/>
  <c r="C1290" i="3"/>
  <c r="C1291" i="3"/>
  <c r="C1292" i="3"/>
  <c r="C1293" i="3"/>
  <c r="C1294" i="3"/>
  <c r="C1295" i="3"/>
  <c r="C1296" i="3"/>
  <c r="C1297" i="3"/>
  <c r="C1298" i="3"/>
  <c r="C1299" i="3"/>
  <c r="C1300" i="3"/>
  <c r="C1301" i="3"/>
  <c r="C1302" i="3"/>
  <c r="C1303" i="3"/>
  <c r="C1304" i="3"/>
  <c r="C1305" i="3"/>
  <c r="C1306" i="3"/>
  <c r="C1307" i="3"/>
  <c r="C1308" i="3"/>
  <c r="C1309" i="3"/>
  <c r="C1310" i="3"/>
  <c r="C1311" i="3"/>
  <c r="C1312" i="3"/>
  <c r="C1313" i="3"/>
  <c r="C1314" i="3"/>
  <c r="C1315" i="3"/>
  <c r="C1316" i="3"/>
  <c r="C1317" i="3"/>
  <c r="C1318" i="3"/>
  <c r="C1319" i="3"/>
  <c r="C1320" i="3"/>
  <c r="C1321" i="3"/>
  <c r="C1322" i="3"/>
  <c r="C1323" i="3"/>
  <c r="C1324" i="3"/>
  <c r="C1325" i="3"/>
  <c r="C1326" i="3"/>
  <c r="C1327" i="3"/>
  <c r="C1328" i="3"/>
  <c r="C1329" i="3"/>
  <c r="C1330" i="3"/>
  <c r="C1331" i="3"/>
  <c r="C1332" i="3"/>
  <c r="C1333" i="3"/>
  <c r="C1334" i="3"/>
  <c r="C1335" i="3"/>
  <c r="C1336" i="3"/>
  <c r="C1337" i="3"/>
  <c r="C1338" i="3"/>
  <c r="C1339" i="3"/>
  <c r="C1340" i="3"/>
  <c r="C1341" i="3"/>
  <c r="C1342" i="3"/>
  <c r="C1343" i="3"/>
  <c r="C1344" i="3"/>
  <c r="C1345" i="3"/>
  <c r="C1346" i="3"/>
  <c r="C1347" i="3"/>
  <c r="C1348" i="3"/>
  <c r="C1349" i="3"/>
  <c r="C1350" i="3"/>
  <c r="C1351" i="3"/>
  <c r="C1352" i="3"/>
  <c r="C1353" i="3"/>
  <c r="C1354" i="3"/>
  <c r="C1355" i="3"/>
  <c r="C1356" i="3"/>
  <c r="C1357" i="3"/>
  <c r="C1358" i="3"/>
  <c r="C1359" i="3"/>
  <c r="C1360" i="3"/>
  <c r="C1361" i="3"/>
  <c r="C1362" i="3"/>
  <c r="C1363" i="3"/>
  <c r="C1364" i="3"/>
  <c r="C1365" i="3"/>
  <c r="C1366" i="3"/>
  <c r="C1367" i="3"/>
  <c r="C1368" i="3"/>
  <c r="C1369" i="3"/>
  <c r="C1370" i="3"/>
  <c r="C1371" i="3"/>
  <c r="C1372" i="3"/>
  <c r="C1373" i="3"/>
  <c r="C1374" i="3"/>
  <c r="C1375" i="3"/>
  <c r="C1376" i="3"/>
  <c r="C1377" i="3"/>
  <c r="C1378" i="3"/>
  <c r="C1379" i="3"/>
  <c r="C1380" i="3"/>
  <c r="C1381" i="3"/>
  <c r="C1382" i="3"/>
  <c r="C1383" i="3"/>
  <c r="C1384" i="3"/>
  <c r="C1385" i="3"/>
  <c r="C1386" i="3"/>
  <c r="C1387" i="3"/>
  <c r="C1388" i="3"/>
  <c r="C1389" i="3"/>
  <c r="C1390" i="3"/>
  <c r="C1391" i="3"/>
  <c r="C1392" i="3"/>
  <c r="C1393" i="3"/>
  <c r="C1394" i="3"/>
  <c r="C1395" i="3"/>
  <c r="C1396" i="3"/>
  <c r="C1397" i="3"/>
  <c r="C1398" i="3"/>
  <c r="C1399" i="3"/>
  <c r="C1400" i="3"/>
  <c r="C1401" i="3"/>
  <c r="C1402" i="3"/>
  <c r="C1403" i="3"/>
  <c r="C1404" i="3"/>
  <c r="C1405" i="3"/>
  <c r="C1406" i="3"/>
  <c r="C1407" i="3"/>
  <c r="C1408" i="3"/>
  <c r="C1409" i="3"/>
  <c r="C1410" i="3"/>
  <c r="C1411" i="3"/>
  <c r="C1412" i="3"/>
  <c r="C1413" i="3"/>
  <c r="C1414" i="3"/>
  <c r="C1415" i="3"/>
  <c r="C1416" i="3"/>
  <c r="C1417" i="3"/>
  <c r="C1418" i="3"/>
  <c r="C1419" i="3"/>
  <c r="C1420" i="3"/>
  <c r="C1421" i="3"/>
  <c r="C1422" i="3"/>
  <c r="C1423" i="3"/>
  <c r="C1424" i="3"/>
  <c r="C1425" i="3"/>
  <c r="C1426" i="3"/>
  <c r="C1427" i="3"/>
  <c r="C1428" i="3"/>
  <c r="C1429" i="3"/>
  <c r="C1430" i="3"/>
  <c r="C1431" i="3"/>
  <c r="C1432" i="3"/>
  <c r="C1433" i="3"/>
  <c r="C1434" i="3"/>
  <c r="C1435" i="3"/>
  <c r="C1436" i="3"/>
  <c r="C1437" i="3"/>
  <c r="C1438" i="3"/>
  <c r="C1439" i="3"/>
  <c r="C1440" i="3"/>
  <c r="C1441" i="3"/>
  <c r="C1442" i="3"/>
  <c r="C1443" i="3"/>
  <c r="C1444" i="3"/>
  <c r="C1445" i="3"/>
  <c r="C1446" i="3"/>
  <c r="C1447" i="3"/>
  <c r="C1448" i="3"/>
  <c r="C1449" i="3"/>
  <c r="C1450" i="3"/>
  <c r="C1451" i="3"/>
  <c r="C1452" i="3"/>
  <c r="C1453" i="3"/>
  <c r="C1454" i="3"/>
  <c r="C1455" i="3"/>
  <c r="C1456" i="3"/>
  <c r="C1457" i="3"/>
  <c r="C1458" i="3"/>
  <c r="C1459" i="3"/>
  <c r="C1460" i="3"/>
  <c r="C1461" i="3"/>
  <c r="C1462" i="3"/>
  <c r="C1463" i="3"/>
  <c r="C1464" i="3"/>
  <c r="C1465" i="3"/>
  <c r="C1466" i="3"/>
  <c r="C1467" i="3"/>
  <c r="C1468" i="3"/>
  <c r="C1469" i="3"/>
  <c r="C1470" i="3"/>
  <c r="C1471" i="3"/>
  <c r="C1472" i="3"/>
  <c r="C1473" i="3"/>
  <c r="C1474" i="3"/>
  <c r="C1475" i="3"/>
  <c r="C1476" i="3"/>
  <c r="C1477" i="3"/>
  <c r="C1478" i="3"/>
  <c r="C1479" i="3"/>
  <c r="C1480" i="3"/>
  <c r="C1481" i="3"/>
  <c r="C1482" i="3"/>
  <c r="C1483" i="3"/>
  <c r="C1484" i="3"/>
  <c r="C1485" i="3"/>
  <c r="C1486" i="3"/>
  <c r="C1487" i="3"/>
  <c r="C1488" i="3"/>
  <c r="C1489" i="3"/>
  <c r="C1490" i="3"/>
  <c r="C1491" i="3"/>
  <c r="C1492" i="3"/>
  <c r="C1493" i="3"/>
  <c r="C1494" i="3"/>
  <c r="C1495" i="3"/>
  <c r="C1496" i="3"/>
  <c r="C1497" i="3"/>
  <c r="C1498" i="3"/>
  <c r="C1499" i="3"/>
  <c r="C1500" i="3"/>
  <c r="C1501" i="3"/>
  <c r="C1502" i="3"/>
  <c r="C1503" i="3"/>
  <c r="C1504" i="3"/>
  <c r="C1505" i="3"/>
  <c r="C1506" i="3"/>
  <c r="C1507" i="3"/>
  <c r="C1508" i="3"/>
  <c r="C1509" i="3"/>
  <c r="C1510" i="3"/>
  <c r="C1511" i="3"/>
  <c r="C1512" i="3"/>
  <c r="C1513" i="3"/>
  <c r="C1514" i="3"/>
  <c r="C1515" i="3"/>
  <c r="C1516" i="3"/>
  <c r="C1517" i="3"/>
  <c r="C1518" i="3"/>
  <c r="C1519" i="3"/>
  <c r="C1520" i="3"/>
  <c r="C1521" i="3"/>
  <c r="C1522" i="3"/>
  <c r="C1523" i="3"/>
  <c r="C1524" i="3"/>
  <c r="C1525" i="3"/>
  <c r="C1526" i="3"/>
  <c r="C1527" i="3"/>
  <c r="C1528" i="3"/>
  <c r="C1529" i="3"/>
  <c r="C1530" i="3"/>
  <c r="C1531" i="3"/>
  <c r="C1532" i="3"/>
  <c r="C1533" i="3"/>
  <c r="C1534" i="3"/>
  <c r="C1535" i="3"/>
  <c r="C1536" i="3"/>
  <c r="C1537" i="3"/>
  <c r="C1538" i="3"/>
  <c r="C1539" i="3"/>
  <c r="C1540" i="3"/>
  <c r="C1541" i="3"/>
  <c r="C1542" i="3"/>
  <c r="C1543" i="3"/>
  <c r="C1544" i="3"/>
  <c r="C1545" i="3"/>
  <c r="C1546" i="3"/>
  <c r="C1547" i="3"/>
  <c r="C1548" i="3"/>
  <c r="C1549" i="3"/>
  <c r="C1550" i="3"/>
  <c r="C1551" i="3"/>
  <c r="C1552" i="3"/>
  <c r="C1553" i="3"/>
  <c r="C1554" i="3"/>
  <c r="C1555" i="3"/>
  <c r="C1556" i="3"/>
  <c r="C1557" i="3"/>
  <c r="C1558" i="3"/>
  <c r="C1559" i="3"/>
  <c r="C1560" i="3"/>
  <c r="C1562" i="3"/>
  <c r="C3" i="3"/>
  <c r="M10" i="3" s="1"/>
  <c r="M9" i="3" s="1"/>
  <c r="D2" i="3" s="1"/>
  <c r="G2" i="3" s="1"/>
  <c r="M17" i="1"/>
  <c r="B2" i="1"/>
  <c r="O11" i="1"/>
  <c r="O9" i="1"/>
  <c r="L8" i="1"/>
  <c r="O10" i="1" s="1"/>
  <c r="E4" i="3" l="1"/>
  <c r="D4" i="3"/>
  <c r="C10" i="1"/>
  <c r="C9" i="1"/>
  <c r="C4" i="1"/>
  <c r="C7" i="1"/>
  <c r="C6" i="1"/>
  <c r="L12" i="1"/>
  <c r="L11" i="1" s="1"/>
  <c r="D2" i="1" s="1"/>
  <c r="D4" i="1" s="1"/>
  <c r="C8" i="1"/>
  <c r="E5" i="3" l="1"/>
  <c r="F3" i="3"/>
  <c r="G3" i="3" s="1"/>
  <c r="D5" i="3"/>
  <c r="D5" i="1"/>
  <c r="E3" i="1"/>
  <c r="F3" i="1"/>
  <c r="D6" i="3" l="1"/>
  <c r="F4" i="3"/>
  <c r="G4" i="3" s="1"/>
  <c r="E6" i="3"/>
  <c r="G3" i="1"/>
  <c r="D6" i="1"/>
  <c r="F4" i="1"/>
  <c r="E4" i="1"/>
  <c r="G4" i="1" s="1"/>
  <c r="D7" i="3" l="1"/>
  <c r="E7" i="3"/>
  <c r="F5" i="3"/>
  <c r="G5" i="3" s="1"/>
  <c r="D7" i="1"/>
  <c r="E5" i="1"/>
  <c r="F5" i="1"/>
  <c r="D8" i="3" l="1"/>
  <c r="E8" i="3"/>
  <c r="F7" i="3"/>
  <c r="G7" i="3" s="1"/>
  <c r="F6" i="3"/>
  <c r="G6" i="3" s="1"/>
  <c r="G5" i="1"/>
  <c r="E6" i="1"/>
  <c r="D8" i="1"/>
  <c r="F6" i="1"/>
  <c r="D9" i="3" l="1"/>
  <c r="E9" i="3"/>
  <c r="G6" i="1"/>
  <c r="D9" i="1"/>
  <c r="E7" i="1"/>
  <c r="F7" i="1"/>
  <c r="D10" i="3" l="1"/>
  <c r="E10" i="3"/>
  <c r="F8" i="3"/>
  <c r="G8" i="3" s="1"/>
  <c r="G7" i="1"/>
  <c r="D10" i="1"/>
  <c r="E8" i="1"/>
  <c r="F8" i="1"/>
  <c r="E11" i="3"/>
  <c r="D11" i="3" l="1"/>
  <c r="F9" i="3"/>
  <c r="G9" i="3" s="1"/>
  <c r="G8" i="1"/>
  <c r="E9" i="1"/>
  <c r="D11" i="1"/>
  <c r="F9" i="1"/>
  <c r="E12" i="3"/>
  <c r="D12" i="3" l="1"/>
  <c r="F10" i="3"/>
  <c r="G10" i="3" s="1"/>
  <c r="G9" i="1"/>
  <c r="E10" i="1"/>
  <c r="D12" i="1"/>
  <c r="F10" i="1"/>
  <c r="E13" i="3"/>
  <c r="D13" i="3" l="1"/>
  <c r="F11" i="3"/>
  <c r="G11" i="3" s="1"/>
  <c r="G10" i="1"/>
  <c r="D13" i="1"/>
  <c r="E11" i="1"/>
  <c r="F11" i="1"/>
  <c r="E14" i="3"/>
  <c r="D14" i="3" l="1"/>
  <c r="F12" i="3"/>
  <c r="G12" i="3" s="1"/>
  <c r="G11" i="1"/>
  <c r="D14" i="1"/>
  <c r="E12" i="1"/>
  <c r="F12" i="1"/>
  <c r="E15" i="3"/>
  <c r="D15" i="3" l="1"/>
  <c r="F13" i="3"/>
  <c r="G13" i="3" s="1"/>
  <c r="G12" i="1"/>
  <c r="E13" i="1"/>
  <c r="D15" i="1"/>
  <c r="F13" i="1"/>
  <c r="E16" i="3"/>
  <c r="D16" i="3" l="1"/>
  <c r="F14" i="3"/>
  <c r="G14" i="3" s="1"/>
  <c r="G13" i="1"/>
  <c r="E14" i="1"/>
  <c r="D16" i="1"/>
  <c r="F14" i="1"/>
  <c r="E17" i="3"/>
  <c r="D17" i="3" l="1"/>
  <c r="F15" i="3"/>
  <c r="G15" i="3" s="1"/>
  <c r="G14" i="1"/>
  <c r="D17" i="1"/>
  <c r="E15" i="1"/>
  <c r="F15" i="1"/>
  <c r="E18" i="3"/>
  <c r="D18" i="3" l="1"/>
  <c r="F16" i="3"/>
  <c r="G16" i="3" s="1"/>
  <c r="G15" i="1"/>
  <c r="D18" i="1"/>
  <c r="E16" i="1"/>
  <c r="F16" i="1"/>
  <c r="E19" i="3"/>
  <c r="D19" i="3" l="1"/>
  <c r="F17" i="3"/>
  <c r="G17" i="3" s="1"/>
  <c r="G16" i="1"/>
  <c r="E17" i="1"/>
  <c r="D19" i="1"/>
  <c r="F17" i="1"/>
  <c r="E20" i="3"/>
  <c r="D20" i="3" l="1"/>
  <c r="F18" i="3"/>
  <c r="G18" i="3" s="1"/>
  <c r="G17" i="1"/>
  <c r="E18" i="1"/>
  <c r="D20" i="1"/>
  <c r="F18" i="1"/>
  <c r="E21" i="3"/>
  <c r="D21" i="3" l="1"/>
  <c r="F19" i="3"/>
  <c r="G19" i="3" s="1"/>
  <c r="G18" i="1"/>
  <c r="D21" i="1"/>
  <c r="E19" i="1"/>
  <c r="F19" i="1"/>
  <c r="E22" i="3"/>
  <c r="D22" i="3" l="1"/>
  <c r="F20" i="3"/>
  <c r="G20" i="3" s="1"/>
  <c r="G19" i="1"/>
  <c r="D22" i="1"/>
  <c r="E20" i="1"/>
  <c r="F20" i="1"/>
  <c r="E23" i="3"/>
  <c r="D23" i="3" l="1"/>
  <c r="F21" i="3"/>
  <c r="G21" i="3" s="1"/>
  <c r="G20" i="1"/>
  <c r="E21" i="1"/>
  <c r="D23" i="1"/>
  <c r="F21" i="1"/>
  <c r="E24" i="3"/>
  <c r="D24" i="3" l="1"/>
  <c r="F22" i="3"/>
  <c r="G22" i="3" s="1"/>
  <c r="G21" i="1"/>
  <c r="E22" i="1"/>
  <c r="D24" i="1"/>
  <c r="F22" i="1"/>
  <c r="E25" i="3"/>
  <c r="D25" i="3" l="1"/>
  <c r="E26" i="3" s="1"/>
  <c r="F23" i="3"/>
  <c r="G23" i="3" s="1"/>
  <c r="G22" i="1"/>
  <c r="D25" i="1"/>
  <c r="E23" i="1"/>
  <c r="F23" i="1"/>
  <c r="D26" i="3" l="1"/>
  <c r="E27" i="3" s="1"/>
  <c r="F24" i="3"/>
  <c r="G24" i="3" s="1"/>
  <c r="G23" i="1"/>
  <c r="D26" i="1"/>
  <c r="E24" i="1"/>
  <c r="F24" i="1"/>
  <c r="G24" i="1" l="1"/>
  <c r="D27" i="3"/>
  <c r="F25" i="3"/>
  <c r="G25" i="3" s="1"/>
  <c r="E25" i="1"/>
  <c r="D27" i="1"/>
  <c r="F25" i="1"/>
  <c r="E28" i="3"/>
  <c r="D28" i="3" l="1"/>
  <c r="F26" i="3"/>
  <c r="G26" i="3" s="1"/>
  <c r="G25" i="1"/>
  <c r="E26" i="1"/>
  <c r="D28" i="1"/>
  <c r="F26" i="1"/>
  <c r="E29" i="3"/>
  <c r="D29" i="3" l="1"/>
  <c r="F27" i="3"/>
  <c r="G27" i="3" s="1"/>
  <c r="G26" i="1"/>
  <c r="D29" i="1"/>
  <c r="E27" i="1"/>
  <c r="F27" i="1"/>
  <c r="E30" i="3"/>
  <c r="D30" i="3" l="1"/>
  <c r="F28" i="3"/>
  <c r="G28" i="3" s="1"/>
  <c r="G27" i="1"/>
  <c r="D30" i="1"/>
  <c r="E28" i="1"/>
  <c r="F28" i="1"/>
  <c r="E31" i="3"/>
  <c r="D31" i="3" l="1"/>
  <c r="F29" i="3"/>
  <c r="G29" i="3" s="1"/>
  <c r="G28" i="1"/>
  <c r="E29" i="1"/>
  <c r="D31" i="1"/>
  <c r="F29" i="1"/>
  <c r="E32" i="3"/>
  <c r="D32" i="3" l="1"/>
  <c r="F30" i="3"/>
  <c r="G30" i="3" s="1"/>
  <c r="G29" i="1"/>
  <c r="E30" i="1"/>
  <c r="D32" i="1"/>
  <c r="F30" i="1"/>
  <c r="E33" i="3"/>
  <c r="D33" i="3" l="1"/>
  <c r="F31" i="3"/>
  <c r="G31" i="3" s="1"/>
  <c r="G30" i="1"/>
  <c r="D33" i="1"/>
  <c r="E31" i="1"/>
  <c r="F31" i="1"/>
  <c r="E34" i="3"/>
  <c r="D34" i="3" l="1"/>
  <c r="E35" i="3" s="1"/>
  <c r="F32" i="3"/>
  <c r="G32" i="3" s="1"/>
  <c r="G31" i="1"/>
  <c r="D34" i="1"/>
  <c r="E32" i="1"/>
  <c r="F32" i="1"/>
  <c r="D35" i="3" l="1"/>
  <c r="F33" i="3"/>
  <c r="G33" i="3" s="1"/>
  <c r="G32" i="1"/>
  <c r="E33" i="1"/>
  <c r="D35" i="1"/>
  <c r="F33" i="1"/>
  <c r="E36" i="3"/>
  <c r="D36" i="3" l="1"/>
  <c r="F34" i="3"/>
  <c r="G34" i="3" s="1"/>
  <c r="G33" i="1"/>
  <c r="E34" i="1"/>
  <c r="D36" i="1"/>
  <c r="F34" i="1"/>
  <c r="E37" i="3"/>
  <c r="D37" i="3" l="1"/>
  <c r="F35" i="3"/>
  <c r="G35" i="3" s="1"/>
  <c r="G34" i="1"/>
  <c r="D37" i="1"/>
  <c r="E35" i="1"/>
  <c r="F35" i="1"/>
  <c r="E38" i="3"/>
  <c r="D38" i="3" l="1"/>
  <c r="F36" i="3"/>
  <c r="G36" i="3" s="1"/>
  <c r="G35" i="1"/>
  <c r="D38" i="1"/>
  <c r="E36" i="1"/>
  <c r="F36" i="1"/>
  <c r="E39" i="3"/>
  <c r="D39" i="3" l="1"/>
  <c r="F37" i="3"/>
  <c r="G37" i="3" s="1"/>
  <c r="G36" i="1"/>
  <c r="E37" i="1"/>
  <c r="D39" i="1"/>
  <c r="F37" i="1"/>
  <c r="E40" i="3"/>
  <c r="D40" i="3" l="1"/>
  <c r="F38" i="3"/>
  <c r="G38" i="3" s="1"/>
  <c r="G37" i="1"/>
  <c r="E38" i="1"/>
  <c r="D40" i="1"/>
  <c r="F38" i="1"/>
  <c r="E41" i="3"/>
  <c r="D41" i="3" l="1"/>
  <c r="F39" i="3"/>
  <c r="G39" i="3" s="1"/>
  <c r="G38" i="1"/>
  <c r="D41" i="1"/>
  <c r="E39" i="1"/>
  <c r="G39" i="1" s="1"/>
  <c r="F39" i="1"/>
  <c r="E42" i="3"/>
  <c r="D42" i="3" l="1"/>
  <c r="F40" i="3"/>
  <c r="G40" i="3" s="1"/>
  <c r="D42" i="1"/>
  <c r="E40" i="1"/>
  <c r="F40" i="1"/>
  <c r="E43" i="3"/>
  <c r="D43" i="3" l="1"/>
  <c r="F41" i="3"/>
  <c r="G41" i="3" s="1"/>
  <c r="G40" i="1"/>
  <c r="E41" i="1"/>
  <c r="D43" i="1"/>
  <c r="F41" i="1"/>
  <c r="E44" i="3"/>
  <c r="D44" i="3" l="1"/>
  <c r="F42" i="3"/>
  <c r="G42" i="3" s="1"/>
  <c r="G41" i="1"/>
  <c r="E42" i="1"/>
  <c r="D44" i="1"/>
  <c r="F42" i="1"/>
  <c r="E45" i="3"/>
  <c r="D45" i="3" l="1"/>
  <c r="F43" i="3"/>
  <c r="G43" i="3" s="1"/>
  <c r="G42" i="1"/>
  <c r="D45" i="1"/>
  <c r="E43" i="1"/>
  <c r="F43" i="1"/>
  <c r="E46" i="3"/>
  <c r="D46" i="3" l="1"/>
  <c r="F44" i="3"/>
  <c r="G44" i="3" s="1"/>
  <c r="G43" i="1"/>
  <c r="D46" i="1"/>
  <c r="E44" i="1"/>
  <c r="F44" i="1"/>
  <c r="E47" i="3"/>
  <c r="D47" i="3" l="1"/>
  <c r="F45" i="3"/>
  <c r="G45" i="3" s="1"/>
  <c r="G44" i="1"/>
  <c r="E45" i="1"/>
  <c r="D47" i="1"/>
  <c r="F45" i="1"/>
  <c r="E48" i="3"/>
  <c r="D48" i="3" l="1"/>
  <c r="F46" i="3"/>
  <c r="G46" i="3" s="1"/>
  <c r="G45" i="1"/>
  <c r="E46" i="1"/>
  <c r="D48" i="1"/>
  <c r="F46" i="1"/>
  <c r="E49" i="3"/>
  <c r="D49" i="3" l="1"/>
  <c r="F47" i="3"/>
  <c r="G47" i="3" s="1"/>
  <c r="G46" i="1"/>
  <c r="D49" i="1"/>
  <c r="E47" i="1"/>
  <c r="F47" i="1"/>
  <c r="E50" i="3"/>
  <c r="D50" i="3" l="1"/>
  <c r="F48" i="3"/>
  <c r="G48" i="3" s="1"/>
  <c r="G47" i="1"/>
  <c r="D50" i="1"/>
  <c r="E48" i="1"/>
  <c r="F48" i="1"/>
  <c r="E51" i="3"/>
  <c r="D51" i="3" l="1"/>
  <c r="F49" i="3"/>
  <c r="G49" i="3" s="1"/>
  <c r="G48" i="1"/>
  <c r="E49" i="1"/>
  <c r="D51" i="1"/>
  <c r="F49" i="1"/>
  <c r="E52" i="3"/>
  <c r="D52" i="3" l="1"/>
  <c r="F50" i="3"/>
  <c r="G50" i="3" s="1"/>
  <c r="G49" i="1"/>
  <c r="E50" i="1"/>
  <c r="D52" i="1"/>
  <c r="F50" i="1"/>
  <c r="E53" i="3"/>
  <c r="D53" i="3" l="1"/>
  <c r="F51" i="3"/>
  <c r="G51" i="3" s="1"/>
  <c r="G50" i="1"/>
  <c r="D53" i="1"/>
  <c r="E51" i="1"/>
  <c r="F51" i="1"/>
  <c r="E54" i="3"/>
  <c r="D54" i="3" l="1"/>
  <c r="F52" i="3"/>
  <c r="G52" i="3" s="1"/>
  <c r="G51" i="1"/>
  <c r="D54" i="1"/>
  <c r="E52" i="1"/>
  <c r="F52" i="1"/>
  <c r="E55" i="3"/>
  <c r="D55" i="3" l="1"/>
  <c r="E56" i="3" s="1"/>
  <c r="F53" i="3"/>
  <c r="G53" i="3" s="1"/>
  <c r="G52" i="1"/>
  <c r="E53" i="1"/>
  <c r="D55" i="1"/>
  <c r="F53" i="1"/>
  <c r="D56" i="3" l="1"/>
  <c r="F54" i="3"/>
  <c r="G54" i="3" s="1"/>
  <c r="G53" i="1"/>
  <c r="E54" i="1"/>
  <c r="D56" i="1"/>
  <c r="F54" i="1"/>
  <c r="E57" i="3"/>
  <c r="D57" i="3" l="1"/>
  <c r="F55" i="3"/>
  <c r="G55" i="3" s="1"/>
  <c r="G54" i="1"/>
  <c r="D57" i="1"/>
  <c r="E55" i="1"/>
  <c r="F55" i="1"/>
  <c r="E58" i="3"/>
  <c r="D58" i="3" l="1"/>
  <c r="F56" i="3"/>
  <c r="G56" i="3" s="1"/>
  <c r="G55" i="1"/>
  <c r="D58" i="1"/>
  <c r="E56" i="1"/>
  <c r="F56" i="1"/>
  <c r="E59" i="3"/>
  <c r="D59" i="3" l="1"/>
  <c r="F57" i="3"/>
  <c r="G57" i="3" s="1"/>
  <c r="G56" i="1"/>
  <c r="E57" i="1"/>
  <c r="D59" i="1"/>
  <c r="F57" i="1"/>
  <c r="E60" i="3"/>
  <c r="D60" i="3" l="1"/>
  <c r="E61" i="3" s="1"/>
  <c r="F58" i="3"/>
  <c r="G58" i="3" s="1"/>
  <c r="G57" i="1"/>
  <c r="E58" i="1"/>
  <c r="D60" i="1"/>
  <c r="F58" i="1"/>
  <c r="D61" i="3" l="1"/>
  <c r="F59" i="3"/>
  <c r="G59" i="3" s="1"/>
  <c r="G58" i="1"/>
  <c r="D61" i="1"/>
  <c r="E59" i="1"/>
  <c r="F59" i="1"/>
  <c r="E62" i="3"/>
  <c r="D62" i="3" l="1"/>
  <c r="F60" i="3"/>
  <c r="G60" i="3" s="1"/>
  <c r="G59" i="1"/>
  <c r="D62" i="1"/>
  <c r="E60" i="1"/>
  <c r="F60" i="1"/>
  <c r="E63" i="3"/>
  <c r="D63" i="3" l="1"/>
  <c r="F61" i="3"/>
  <c r="G61" i="3" s="1"/>
  <c r="G60" i="1"/>
  <c r="E61" i="1"/>
  <c r="D63" i="1"/>
  <c r="F61" i="1"/>
  <c r="E64" i="3"/>
  <c r="D64" i="3" l="1"/>
  <c r="F62" i="3"/>
  <c r="G62" i="3" s="1"/>
  <c r="G61" i="1"/>
  <c r="E62" i="1"/>
  <c r="D64" i="1"/>
  <c r="F62" i="1"/>
  <c r="E65" i="3"/>
  <c r="D65" i="3" l="1"/>
  <c r="F63" i="3"/>
  <c r="G63" i="3" s="1"/>
  <c r="G62" i="1"/>
  <c r="D65" i="1"/>
  <c r="E63" i="1"/>
  <c r="F63" i="1"/>
  <c r="E66" i="3"/>
  <c r="D66" i="3" l="1"/>
  <c r="F64" i="3"/>
  <c r="G64" i="3" s="1"/>
  <c r="G63" i="1"/>
  <c r="D66" i="1"/>
  <c r="E64" i="1"/>
  <c r="F64" i="1"/>
  <c r="E67" i="3"/>
  <c r="D67" i="3" l="1"/>
  <c r="F65" i="3"/>
  <c r="G65" i="3" s="1"/>
  <c r="G64" i="1"/>
  <c r="E65" i="1"/>
  <c r="D67" i="1"/>
  <c r="F65" i="1"/>
  <c r="E68" i="3"/>
  <c r="D68" i="3" l="1"/>
  <c r="F66" i="3"/>
  <c r="G66" i="3" s="1"/>
  <c r="G65" i="1"/>
  <c r="E66" i="1"/>
  <c r="D68" i="1"/>
  <c r="F66" i="1"/>
  <c r="E69" i="3"/>
  <c r="D69" i="3" l="1"/>
  <c r="F67" i="3"/>
  <c r="G67" i="3" s="1"/>
  <c r="G66" i="1"/>
  <c r="D69" i="1"/>
  <c r="E67" i="1"/>
  <c r="F67" i="1"/>
  <c r="E70" i="3"/>
  <c r="D70" i="3" l="1"/>
  <c r="F68" i="3"/>
  <c r="G68" i="3" s="1"/>
  <c r="G67" i="1"/>
  <c r="D70" i="1"/>
  <c r="E68" i="1"/>
  <c r="F68" i="1"/>
  <c r="E71" i="3"/>
  <c r="D71" i="3" l="1"/>
  <c r="F69" i="3"/>
  <c r="G69" i="3" s="1"/>
  <c r="G68" i="1"/>
  <c r="E69" i="1"/>
  <c r="D71" i="1"/>
  <c r="F69" i="1"/>
  <c r="E72" i="3"/>
  <c r="D72" i="3" l="1"/>
  <c r="F70" i="3"/>
  <c r="G70" i="3" s="1"/>
  <c r="G69" i="1"/>
  <c r="E70" i="1"/>
  <c r="D72" i="1"/>
  <c r="F70" i="1"/>
  <c r="E73" i="3"/>
  <c r="D73" i="3" l="1"/>
  <c r="F71" i="3"/>
  <c r="G71" i="3" s="1"/>
  <c r="G70" i="1"/>
  <c r="D73" i="1"/>
  <c r="E71" i="1"/>
  <c r="F71" i="1"/>
  <c r="E74" i="3"/>
  <c r="D74" i="3" l="1"/>
  <c r="F72" i="3"/>
  <c r="G72" i="3" s="1"/>
  <c r="G71" i="1"/>
  <c r="D74" i="1"/>
  <c r="E72" i="1"/>
  <c r="F72" i="1"/>
  <c r="E75" i="3"/>
  <c r="D75" i="3" l="1"/>
  <c r="F73" i="3"/>
  <c r="G73" i="3" s="1"/>
  <c r="G72" i="1"/>
  <c r="E73" i="1"/>
  <c r="D75" i="1"/>
  <c r="F73" i="1"/>
  <c r="E76" i="3"/>
  <c r="D76" i="3" l="1"/>
  <c r="F74" i="3"/>
  <c r="G74" i="3" s="1"/>
  <c r="G73" i="1"/>
  <c r="E74" i="1"/>
  <c r="D76" i="1"/>
  <c r="F74" i="1"/>
  <c r="E77" i="3"/>
  <c r="D77" i="3" l="1"/>
  <c r="F75" i="3"/>
  <c r="G75" i="3" s="1"/>
  <c r="G74" i="1"/>
  <c r="D77" i="1"/>
  <c r="E75" i="1"/>
  <c r="F75" i="1"/>
  <c r="E78" i="3"/>
  <c r="D78" i="3" l="1"/>
  <c r="F76" i="3"/>
  <c r="G76" i="3" s="1"/>
  <c r="G75" i="1"/>
  <c r="D78" i="1"/>
  <c r="E76" i="1"/>
  <c r="F76" i="1"/>
  <c r="E79" i="3"/>
  <c r="D79" i="3" l="1"/>
  <c r="F77" i="3"/>
  <c r="G77" i="3" s="1"/>
  <c r="G76" i="1"/>
  <c r="E77" i="1"/>
  <c r="D79" i="1"/>
  <c r="F77" i="1"/>
  <c r="E80" i="3"/>
  <c r="D80" i="3" l="1"/>
  <c r="F78" i="3"/>
  <c r="G78" i="3" s="1"/>
  <c r="G77" i="1"/>
  <c r="E78" i="1"/>
  <c r="D80" i="1"/>
  <c r="F78" i="1"/>
  <c r="E81" i="3"/>
  <c r="D81" i="3" l="1"/>
  <c r="F79" i="3"/>
  <c r="G79" i="3" s="1"/>
  <c r="G78" i="1"/>
  <c r="D81" i="1"/>
  <c r="E79" i="1"/>
  <c r="F79" i="1"/>
  <c r="E82" i="3"/>
  <c r="D82" i="3" l="1"/>
  <c r="F80" i="3"/>
  <c r="G80" i="3" s="1"/>
  <c r="G79" i="1"/>
  <c r="D82" i="1"/>
  <c r="E80" i="1"/>
  <c r="F80" i="1"/>
  <c r="E83" i="3"/>
  <c r="D83" i="3" l="1"/>
  <c r="F81" i="3"/>
  <c r="G81" i="3" s="1"/>
  <c r="G80" i="1"/>
  <c r="E83" i="1"/>
  <c r="E81" i="1"/>
  <c r="D83" i="1"/>
  <c r="F81" i="1"/>
  <c r="E84" i="3"/>
  <c r="D84" i="3" l="1"/>
  <c r="F82" i="3"/>
  <c r="G82" i="3" s="1"/>
  <c r="G81" i="1"/>
  <c r="E82" i="1"/>
  <c r="F82" i="1"/>
  <c r="F83" i="1"/>
  <c r="G83" i="1" s="1"/>
  <c r="E85" i="3"/>
  <c r="D85" i="3" l="1"/>
  <c r="F83" i="3"/>
  <c r="G83" i="3" s="1"/>
  <c r="G82" i="1"/>
  <c r="E86" i="3"/>
  <c r="D86" i="3" l="1"/>
  <c r="F84" i="3"/>
  <c r="G84" i="3" s="1"/>
  <c r="E87" i="3"/>
  <c r="D87" i="3" l="1"/>
  <c r="F85" i="3"/>
  <c r="G85" i="3" s="1"/>
  <c r="E88" i="3"/>
  <c r="D88" i="3" l="1"/>
  <c r="F86" i="3"/>
  <c r="G86" i="3" s="1"/>
  <c r="E89" i="3"/>
  <c r="D89" i="3" l="1"/>
  <c r="F87" i="3"/>
  <c r="G87" i="3" s="1"/>
  <c r="E90" i="3"/>
  <c r="D90" i="3" l="1"/>
  <c r="F88" i="3"/>
  <c r="G88" i="3" s="1"/>
  <c r="E91" i="3"/>
  <c r="D91" i="3" l="1"/>
  <c r="F89" i="3"/>
  <c r="G89" i="3" s="1"/>
  <c r="E92" i="3"/>
  <c r="D92" i="3" l="1"/>
  <c r="F90" i="3"/>
  <c r="G90" i="3" s="1"/>
  <c r="E93" i="3"/>
  <c r="D93" i="3" l="1"/>
  <c r="F91" i="3"/>
  <c r="G91" i="3" s="1"/>
  <c r="E94" i="3"/>
  <c r="D94" i="3" l="1"/>
  <c r="F92" i="3"/>
  <c r="G92" i="3" s="1"/>
  <c r="E95" i="3"/>
  <c r="D95" i="3" l="1"/>
  <c r="F93" i="3"/>
  <c r="G93" i="3" s="1"/>
  <c r="E96" i="3"/>
  <c r="D96" i="3" l="1"/>
  <c r="F94" i="3"/>
  <c r="G94" i="3" s="1"/>
  <c r="E97" i="3"/>
  <c r="D97" i="3" l="1"/>
  <c r="F95" i="3"/>
  <c r="G95" i="3" s="1"/>
  <c r="E98" i="3"/>
  <c r="D98" i="3" l="1"/>
  <c r="F96" i="3"/>
  <c r="G96" i="3" s="1"/>
  <c r="E99" i="3"/>
  <c r="D99" i="3" l="1"/>
  <c r="F97" i="3"/>
  <c r="G97" i="3" s="1"/>
  <c r="E100" i="3"/>
  <c r="D100" i="3" l="1"/>
  <c r="F98" i="3"/>
  <c r="G98" i="3" s="1"/>
  <c r="E101" i="3"/>
  <c r="D101" i="3" l="1"/>
  <c r="F99" i="3"/>
  <c r="G99" i="3" s="1"/>
  <c r="E102" i="3"/>
  <c r="D102" i="3" l="1"/>
  <c r="F100" i="3"/>
  <c r="G100" i="3" s="1"/>
  <c r="E103" i="3"/>
  <c r="D103" i="3" l="1"/>
  <c r="F101" i="3"/>
  <c r="G101" i="3" s="1"/>
  <c r="E104" i="3"/>
  <c r="D104" i="3" l="1"/>
  <c r="F102" i="3"/>
  <c r="G102" i="3" s="1"/>
  <c r="E105" i="3"/>
  <c r="D105" i="3" l="1"/>
  <c r="E106" i="3" s="1"/>
  <c r="F103" i="3"/>
  <c r="G103" i="3" s="1"/>
  <c r="D106" i="3" l="1"/>
  <c r="F104" i="3"/>
  <c r="G104" i="3" s="1"/>
  <c r="E107" i="3"/>
  <c r="D107" i="3" l="1"/>
  <c r="F105" i="3"/>
  <c r="G105" i="3" s="1"/>
  <c r="E108" i="3"/>
  <c r="D108" i="3" l="1"/>
  <c r="F106" i="3"/>
  <c r="G106" i="3" s="1"/>
  <c r="E109" i="3"/>
  <c r="D109" i="3" l="1"/>
  <c r="F107" i="3"/>
  <c r="G107" i="3" s="1"/>
  <c r="E110" i="3"/>
  <c r="D110" i="3" l="1"/>
  <c r="F108" i="3"/>
  <c r="G108" i="3" s="1"/>
  <c r="E111" i="3"/>
  <c r="D111" i="3" l="1"/>
  <c r="F109" i="3"/>
  <c r="G109" i="3" s="1"/>
  <c r="E112" i="3"/>
  <c r="D112" i="3" l="1"/>
  <c r="F110" i="3"/>
  <c r="G110" i="3" s="1"/>
  <c r="E113" i="3"/>
  <c r="D113" i="3" l="1"/>
  <c r="F111" i="3"/>
  <c r="G111" i="3" s="1"/>
  <c r="E114" i="3"/>
  <c r="D114" i="3" l="1"/>
  <c r="F112" i="3"/>
  <c r="G112" i="3" s="1"/>
  <c r="E115" i="3"/>
  <c r="D115" i="3" l="1"/>
  <c r="F113" i="3"/>
  <c r="G113" i="3" s="1"/>
  <c r="E116" i="3"/>
  <c r="D116" i="3" l="1"/>
  <c r="F114" i="3"/>
  <c r="G114" i="3" s="1"/>
  <c r="D117" i="3" l="1"/>
  <c r="E117" i="3"/>
  <c r="F115" i="3"/>
  <c r="G115" i="3" s="1"/>
  <c r="E118" i="3"/>
  <c r="D118" i="3" l="1"/>
  <c r="F116" i="3"/>
  <c r="G116" i="3" s="1"/>
  <c r="E119" i="3"/>
  <c r="D119" i="3" l="1"/>
  <c r="F117" i="3"/>
  <c r="G117" i="3" s="1"/>
  <c r="E120" i="3"/>
  <c r="D120" i="3" l="1"/>
  <c r="F118" i="3"/>
  <c r="G118" i="3" s="1"/>
  <c r="D121" i="3" l="1"/>
  <c r="E121" i="3"/>
  <c r="F119" i="3"/>
  <c r="G119" i="3" s="1"/>
  <c r="E122" i="3"/>
  <c r="D122" i="3" l="1"/>
  <c r="F120" i="3"/>
  <c r="G120" i="3" s="1"/>
  <c r="E123" i="3"/>
  <c r="D123" i="3" l="1"/>
  <c r="F121" i="3"/>
  <c r="G121" i="3" s="1"/>
  <c r="E124" i="3"/>
  <c r="D124" i="3" l="1"/>
  <c r="F122" i="3"/>
  <c r="G122" i="3" s="1"/>
  <c r="D125" i="3" l="1"/>
  <c r="F124" i="3" s="1"/>
  <c r="G124" i="3" s="1"/>
  <c r="E125" i="3"/>
  <c r="F123" i="3"/>
  <c r="G123" i="3" s="1"/>
  <c r="E126" i="3"/>
  <c r="D126" i="3" l="1"/>
  <c r="E127" i="3"/>
  <c r="D127" i="3" l="1"/>
  <c r="F125" i="3"/>
  <c r="G125" i="3" s="1"/>
  <c r="E128" i="3"/>
  <c r="D128" i="3" l="1"/>
  <c r="F126" i="3"/>
  <c r="G126" i="3" s="1"/>
  <c r="E129" i="3"/>
  <c r="D129" i="3" l="1"/>
  <c r="F127" i="3"/>
  <c r="G127" i="3" s="1"/>
  <c r="E130" i="3"/>
  <c r="D130" i="3" l="1"/>
  <c r="F128" i="3"/>
  <c r="G128" i="3" s="1"/>
  <c r="E131" i="3"/>
  <c r="D131" i="3" l="1"/>
  <c r="F129" i="3"/>
  <c r="G129" i="3" s="1"/>
  <c r="E132" i="3"/>
  <c r="D132" i="3" l="1"/>
  <c r="F130" i="3"/>
  <c r="G130" i="3" s="1"/>
  <c r="E133" i="3"/>
  <c r="D133" i="3" l="1"/>
  <c r="F131" i="3"/>
  <c r="G131" i="3" s="1"/>
  <c r="E134" i="3"/>
  <c r="D134" i="3" l="1"/>
  <c r="F132" i="3"/>
  <c r="G132" i="3" s="1"/>
  <c r="E135" i="3"/>
  <c r="D135" i="3" l="1"/>
  <c r="F133" i="3"/>
  <c r="G133" i="3" s="1"/>
  <c r="E136" i="3"/>
  <c r="D136" i="3" l="1"/>
  <c r="F134" i="3"/>
  <c r="G134" i="3" s="1"/>
  <c r="E137" i="3"/>
  <c r="D137" i="3" l="1"/>
  <c r="F135" i="3"/>
  <c r="G135" i="3" s="1"/>
  <c r="E138" i="3"/>
  <c r="D138" i="3" l="1"/>
  <c r="F136" i="3"/>
  <c r="G136" i="3" s="1"/>
  <c r="E139" i="3"/>
  <c r="D139" i="3" l="1"/>
  <c r="F137" i="3"/>
  <c r="G137" i="3" s="1"/>
  <c r="E140" i="3" l="1"/>
  <c r="D140" i="3"/>
  <c r="E141" i="3" s="1"/>
  <c r="F138" i="3"/>
  <c r="G138" i="3" s="1"/>
  <c r="D141" i="3" l="1"/>
  <c r="G140" i="3"/>
  <c r="F140" i="3"/>
  <c r="F139" i="3"/>
  <c r="G139" i="3" s="1"/>
  <c r="E142" i="3"/>
  <c r="D142" i="3" l="1"/>
  <c r="D143" i="3" l="1"/>
  <c r="E143" i="3"/>
  <c r="F141" i="3"/>
  <c r="G141" i="3" s="1"/>
  <c r="E144" i="3"/>
  <c r="D144" i="3" l="1"/>
  <c r="F142" i="3"/>
  <c r="G142" i="3" s="1"/>
  <c r="E145" i="3"/>
  <c r="D145" i="3" l="1"/>
  <c r="F143" i="3"/>
  <c r="G143" i="3" s="1"/>
  <c r="E146" i="3"/>
  <c r="D146" i="3" l="1"/>
  <c r="F144" i="3"/>
  <c r="G144" i="3" s="1"/>
  <c r="E147" i="3"/>
  <c r="D147" i="3" l="1"/>
  <c r="F145" i="3"/>
  <c r="G145" i="3" s="1"/>
  <c r="E148" i="3"/>
  <c r="D148" i="3" l="1"/>
  <c r="F146" i="3"/>
  <c r="G146" i="3" s="1"/>
  <c r="E149" i="3"/>
  <c r="D149" i="3" l="1"/>
  <c r="F148" i="3" s="1"/>
  <c r="G148" i="3"/>
  <c r="F147" i="3"/>
  <c r="G147" i="3" s="1"/>
  <c r="E150" i="3" l="1"/>
  <c r="D150" i="3"/>
  <c r="E151" i="3"/>
  <c r="D151" i="3" l="1"/>
  <c r="F149" i="3"/>
  <c r="G149" i="3" s="1"/>
  <c r="D152" i="3" l="1"/>
  <c r="E152" i="3"/>
  <c r="F150" i="3"/>
  <c r="G150" i="3" s="1"/>
  <c r="E153" i="3"/>
  <c r="D153" i="3" l="1"/>
  <c r="F151" i="3"/>
  <c r="G151" i="3" s="1"/>
  <c r="E154" i="3"/>
  <c r="D154" i="3" l="1"/>
  <c r="F152" i="3"/>
  <c r="G152" i="3" s="1"/>
  <c r="E155" i="3"/>
  <c r="D155" i="3" l="1"/>
  <c r="F153" i="3"/>
  <c r="G153" i="3" s="1"/>
  <c r="E156" i="3"/>
  <c r="D156" i="3" l="1"/>
  <c r="F154" i="3"/>
  <c r="G154" i="3" s="1"/>
  <c r="D157" i="3" l="1"/>
  <c r="E158" i="3" s="1"/>
  <c r="E157" i="3"/>
  <c r="F155" i="3"/>
  <c r="G155" i="3" s="1"/>
  <c r="D158" i="3" l="1"/>
  <c r="F156" i="3"/>
  <c r="G156" i="3" s="1"/>
  <c r="E159" i="3"/>
  <c r="D159" i="3" l="1"/>
  <c r="F157" i="3"/>
  <c r="G157" i="3" s="1"/>
  <c r="E160" i="3"/>
  <c r="D160" i="3" l="1"/>
  <c r="F158" i="3"/>
  <c r="G158" i="3" s="1"/>
  <c r="E161" i="3"/>
  <c r="D161" i="3" l="1"/>
  <c r="F159" i="3"/>
  <c r="G159" i="3" s="1"/>
  <c r="E162" i="3"/>
  <c r="D162" i="3" l="1"/>
  <c r="F160" i="3"/>
  <c r="G160" i="3" s="1"/>
  <c r="E163" i="3"/>
  <c r="D163" i="3" l="1"/>
  <c r="F161" i="3"/>
  <c r="G161" i="3" s="1"/>
  <c r="E164" i="3"/>
  <c r="D164" i="3" l="1"/>
  <c r="F162" i="3"/>
  <c r="G162" i="3" s="1"/>
  <c r="E165" i="3"/>
  <c r="D165" i="3" l="1"/>
  <c r="F163" i="3"/>
  <c r="G163" i="3" s="1"/>
  <c r="E166" i="3"/>
  <c r="D166" i="3" l="1"/>
  <c r="F164" i="3"/>
  <c r="G164" i="3" s="1"/>
  <c r="E167" i="3"/>
  <c r="D167" i="3" l="1"/>
  <c r="F165" i="3"/>
  <c r="G165" i="3" s="1"/>
  <c r="E168" i="3"/>
  <c r="D168" i="3" l="1"/>
  <c r="F166" i="3"/>
  <c r="G166" i="3" s="1"/>
  <c r="E169" i="3"/>
  <c r="D169" i="3" l="1"/>
  <c r="F167" i="3"/>
  <c r="G167" i="3" s="1"/>
  <c r="E170" i="3" l="1"/>
  <c r="D170" i="3"/>
  <c r="F168" i="3"/>
  <c r="G168" i="3" s="1"/>
  <c r="D171" i="3" l="1"/>
  <c r="E171" i="3"/>
  <c r="F170" i="3"/>
  <c r="G170" i="3" s="1"/>
  <c r="F169" i="3"/>
  <c r="G169" i="3" s="1"/>
  <c r="E172" i="3"/>
  <c r="D172" i="3" l="1"/>
  <c r="E173" i="3" s="1"/>
  <c r="D173" i="3" l="1"/>
  <c r="F171" i="3"/>
  <c r="G171" i="3" s="1"/>
  <c r="E174" i="3" l="1"/>
  <c r="D174" i="3"/>
  <c r="E175" i="3" s="1"/>
  <c r="F172" i="3"/>
  <c r="G172" i="3" s="1"/>
  <c r="D175" i="3" l="1"/>
  <c r="E176" i="3" s="1"/>
  <c r="F173" i="3"/>
  <c r="G173" i="3" s="1"/>
  <c r="F174" i="3" l="1"/>
  <c r="G174" i="3" s="1"/>
  <c r="D176" i="3"/>
  <c r="E177" i="3"/>
  <c r="D177" i="3" l="1"/>
  <c r="F175" i="3"/>
  <c r="G175" i="3" s="1"/>
  <c r="E178" i="3"/>
  <c r="D178" i="3" l="1"/>
  <c r="F176" i="3"/>
  <c r="G176" i="3" s="1"/>
  <c r="E179" i="3"/>
  <c r="D179" i="3" l="1"/>
  <c r="F177" i="3"/>
  <c r="G177" i="3" s="1"/>
  <c r="E180" i="3"/>
  <c r="D180" i="3" l="1"/>
  <c r="F178" i="3"/>
  <c r="G178" i="3" s="1"/>
  <c r="E181" i="3"/>
  <c r="D181" i="3" l="1"/>
  <c r="F179" i="3"/>
  <c r="G179" i="3" s="1"/>
  <c r="D182" i="3" l="1"/>
  <c r="E182" i="3"/>
  <c r="F180" i="3"/>
  <c r="G180" i="3" s="1"/>
  <c r="E183" i="3"/>
  <c r="D183" i="3" l="1"/>
  <c r="F181" i="3"/>
  <c r="G181" i="3" s="1"/>
  <c r="E184" i="3"/>
  <c r="D184" i="3" l="1"/>
  <c r="F182" i="3"/>
  <c r="G182" i="3" s="1"/>
  <c r="E185" i="3"/>
  <c r="D185" i="3" l="1"/>
  <c r="F183" i="3"/>
  <c r="G183" i="3" s="1"/>
  <c r="E186" i="3"/>
  <c r="D186" i="3" l="1"/>
  <c r="F184" i="3"/>
  <c r="G184" i="3" s="1"/>
  <c r="E187" i="3"/>
  <c r="D187" i="3" l="1"/>
  <c r="F185" i="3"/>
  <c r="G185" i="3" s="1"/>
  <c r="E188" i="3"/>
  <c r="D188" i="3" l="1"/>
  <c r="F186" i="3"/>
  <c r="G186" i="3" s="1"/>
  <c r="E189" i="3"/>
  <c r="D189" i="3" l="1"/>
  <c r="F187" i="3"/>
  <c r="G187" i="3" s="1"/>
  <c r="E190" i="3"/>
  <c r="D190" i="3" l="1"/>
  <c r="F188" i="3"/>
  <c r="G188" i="3" s="1"/>
  <c r="E191" i="3"/>
  <c r="D191" i="3" l="1"/>
  <c r="F189" i="3"/>
  <c r="G189" i="3" s="1"/>
  <c r="E192" i="3"/>
  <c r="D192" i="3" l="1"/>
  <c r="F190" i="3"/>
  <c r="G190" i="3" s="1"/>
  <c r="E193" i="3"/>
  <c r="D193" i="3" l="1"/>
  <c r="F191" i="3"/>
  <c r="G191" i="3" s="1"/>
  <c r="E194" i="3"/>
  <c r="D194" i="3" l="1"/>
  <c r="F192" i="3"/>
  <c r="G192" i="3" s="1"/>
  <c r="E195" i="3"/>
  <c r="D195" i="3" l="1"/>
  <c r="F193" i="3"/>
  <c r="G193" i="3" s="1"/>
  <c r="E196" i="3"/>
  <c r="D196" i="3" l="1"/>
  <c r="F194" i="3"/>
  <c r="G194" i="3" s="1"/>
  <c r="E197" i="3"/>
  <c r="D197" i="3" l="1"/>
  <c r="F195" i="3"/>
  <c r="G195" i="3" s="1"/>
  <c r="E198" i="3"/>
  <c r="D198" i="3" l="1"/>
  <c r="F196" i="3"/>
  <c r="G196" i="3" s="1"/>
  <c r="E199" i="3"/>
  <c r="D199" i="3" l="1"/>
  <c r="F197" i="3"/>
  <c r="G197" i="3" s="1"/>
  <c r="E200" i="3"/>
  <c r="D200" i="3" l="1"/>
  <c r="F198" i="3"/>
  <c r="G198" i="3" s="1"/>
  <c r="F199" i="3"/>
  <c r="G199" i="3" s="1"/>
  <c r="D201" i="3" l="1"/>
  <c r="E201" i="3"/>
  <c r="E202" i="3"/>
  <c r="D202" i="3" l="1"/>
  <c r="F200" i="3"/>
  <c r="G200" i="3" s="1"/>
  <c r="D203" i="3" l="1"/>
  <c r="G202" i="3"/>
  <c r="E203" i="3"/>
  <c r="F202" i="3"/>
  <c r="F201" i="3"/>
  <c r="G201" i="3" s="1"/>
  <c r="E204" i="3"/>
  <c r="D204" i="3" l="1"/>
  <c r="D205" i="3" l="1"/>
  <c r="F203" i="3"/>
  <c r="G203" i="3" s="1"/>
  <c r="E205" i="3"/>
  <c r="F204" i="3" l="1"/>
  <c r="G204" i="3" s="1"/>
  <c r="E206" i="3"/>
  <c r="D206" i="3"/>
  <c r="F205" i="3" s="1"/>
  <c r="G205" i="3"/>
  <c r="D207" i="3" l="1"/>
  <c r="E207" i="3"/>
  <c r="E208" i="3"/>
  <c r="D208" i="3" l="1"/>
  <c r="F206" i="3"/>
  <c r="G206" i="3" s="1"/>
  <c r="D209" i="3" l="1"/>
  <c r="F207" i="3"/>
  <c r="G207" i="3" s="1"/>
  <c r="E209" i="3"/>
  <c r="D210" i="3" l="1"/>
  <c r="G209" i="3"/>
  <c r="F208" i="3"/>
  <c r="G208" i="3" s="1"/>
  <c r="E210" i="3"/>
  <c r="F209" i="3"/>
  <c r="D211" i="3" l="1"/>
  <c r="E211" i="3"/>
  <c r="E212" i="3"/>
  <c r="D212" i="3" l="1"/>
  <c r="F211" i="3" s="1"/>
  <c r="G211" i="3"/>
  <c r="F210" i="3"/>
  <c r="G210" i="3" s="1"/>
  <c r="E213" i="3" l="1"/>
  <c r="D213" i="3"/>
  <c r="D214" i="3" l="1"/>
  <c r="E214" i="3"/>
  <c r="F212" i="3"/>
  <c r="G212" i="3" s="1"/>
  <c r="E215" i="3"/>
  <c r="D215" i="3" l="1"/>
  <c r="E216" i="3" s="1"/>
  <c r="F213" i="3"/>
  <c r="G213" i="3" s="1"/>
  <c r="D216" i="3" l="1"/>
  <c r="F214" i="3"/>
  <c r="G214" i="3" s="1"/>
  <c r="E217" i="3"/>
  <c r="D217" i="3" l="1"/>
  <c r="F215" i="3"/>
  <c r="G215" i="3" s="1"/>
  <c r="E218" i="3"/>
  <c r="D218" i="3" l="1"/>
  <c r="F216" i="3"/>
  <c r="G216" i="3" s="1"/>
  <c r="E219" i="3"/>
  <c r="D219" i="3" l="1"/>
  <c r="E220" i="3" s="1"/>
  <c r="F217" i="3"/>
  <c r="G217" i="3" s="1"/>
  <c r="D220" i="3" l="1"/>
  <c r="F218" i="3"/>
  <c r="G218" i="3" s="1"/>
  <c r="F219" i="3" l="1"/>
  <c r="G219" i="3" s="1"/>
  <c r="D221" i="3"/>
  <c r="F220" i="3" s="1"/>
  <c r="G220" i="3"/>
  <c r="E221" i="3"/>
  <c r="E222" i="3"/>
  <c r="D222" i="3" l="1"/>
  <c r="D223" i="3" l="1"/>
  <c r="G222" i="3"/>
  <c r="F221" i="3"/>
  <c r="G221" i="3" s="1"/>
  <c r="E223" i="3"/>
  <c r="F222" i="3"/>
  <c r="E224" i="3"/>
  <c r="D224" i="3" l="1"/>
  <c r="D225" i="3" l="1"/>
  <c r="G224" i="3"/>
  <c r="E225" i="3"/>
  <c r="F223" i="3"/>
  <c r="G223" i="3" s="1"/>
  <c r="F224" i="3"/>
  <c r="E226" i="3"/>
  <c r="D226" i="3" l="1"/>
  <c r="D227" i="3" l="1"/>
  <c r="G226" i="3"/>
  <c r="F225" i="3"/>
  <c r="G225" i="3" s="1"/>
  <c r="E227" i="3"/>
  <c r="F226" i="3"/>
  <c r="E228" i="3"/>
  <c r="D228" i="3" l="1"/>
  <c r="D229" i="3" l="1"/>
  <c r="G228" i="3"/>
  <c r="F227" i="3"/>
  <c r="G227" i="3" s="1"/>
  <c r="E229" i="3"/>
  <c r="F228" i="3"/>
  <c r="E230" i="3"/>
  <c r="D230" i="3" l="1"/>
  <c r="F229" i="3" l="1"/>
  <c r="G229" i="3" s="1"/>
  <c r="D231" i="3"/>
  <c r="F230" i="3" s="1"/>
  <c r="G230" i="3" s="1"/>
  <c r="E231" i="3"/>
  <c r="E232" i="3" l="1"/>
  <c r="D232" i="3"/>
  <c r="E233" i="3"/>
  <c r="D233" i="3" l="1"/>
  <c r="E234" i="3" s="1"/>
  <c r="F231" i="3"/>
  <c r="G231" i="3" s="1"/>
  <c r="D234" i="3" l="1"/>
  <c r="F232" i="3"/>
  <c r="G232" i="3" s="1"/>
  <c r="D235" i="3" l="1"/>
  <c r="E235" i="3"/>
  <c r="F233" i="3"/>
  <c r="G233" i="3" s="1"/>
  <c r="E236" i="3" l="1"/>
  <c r="D236" i="3"/>
  <c r="E237" i="3" s="1"/>
  <c r="F234" i="3"/>
  <c r="G234" i="3" s="1"/>
  <c r="D237" i="3" l="1"/>
  <c r="F236" i="3" s="1"/>
  <c r="G236" i="3"/>
  <c r="F235" i="3"/>
  <c r="G235" i="3" s="1"/>
  <c r="E238" i="3" l="1"/>
  <c r="D238" i="3"/>
  <c r="E239" i="3"/>
  <c r="D239" i="3" l="1"/>
  <c r="F237" i="3"/>
  <c r="G237" i="3" s="1"/>
  <c r="E240" i="3"/>
  <c r="D240" i="3" l="1"/>
  <c r="F238" i="3"/>
  <c r="G238" i="3" s="1"/>
  <c r="E241" i="3"/>
  <c r="D241" i="3" l="1"/>
  <c r="F239" i="3"/>
  <c r="G239" i="3" s="1"/>
  <c r="D242" i="3" l="1"/>
  <c r="F240" i="3"/>
  <c r="G240" i="3" s="1"/>
  <c r="E242" i="3"/>
  <c r="F241" i="3" l="1"/>
  <c r="G241" i="3" s="1"/>
  <c r="E243" i="3"/>
  <c r="D243" i="3"/>
  <c r="E244" i="3" s="1"/>
  <c r="D244" i="3" l="1"/>
  <c r="F242" i="3"/>
  <c r="G242" i="3" s="1"/>
  <c r="E245" i="3"/>
  <c r="D245" i="3" l="1"/>
  <c r="F243" i="3"/>
  <c r="G243" i="3" s="1"/>
  <c r="D246" i="3" l="1"/>
  <c r="F244" i="3"/>
  <c r="G244" i="3" s="1"/>
  <c r="F245" i="3"/>
  <c r="G245" i="3" s="1"/>
  <c r="E246" i="3"/>
  <c r="D247" i="3" l="1"/>
  <c r="E247" i="3"/>
  <c r="E248" i="3"/>
  <c r="D248" i="3" l="1"/>
  <c r="F246" i="3"/>
  <c r="G246" i="3" s="1"/>
  <c r="D249" i="3" l="1"/>
  <c r="E249" i="3"/>
  <c r="F247" i="3"/>
  <c r="G247" i="3" s="1"/>
  <c r="D250" i="3" l="1"/>
  <c r="F248" i="3"/>
  <c r="G248" i="3" s="1"/>
  <c r="E250" i="3"/>
  <c r="F249" i="3" l="1"/>
  <c r="G249" i="3" s="1"/>
  <c r="E251" i="3"/>
  <c r="D251" i="3"/>
  <c r="D252" i="3" l="1"/>
  <c r="F251" i="3" s="1"/>
  <c r="G251" i="3"/>
  <c r="E252" i="3"/>
  <c r="F250" i="3"/>
  <c r="G250" i="3" s="1"/>
  <c r="E253" i="3"/>
  <c r="D253" i="3" l="1"/>
  <c r="E254" i="3"/>
  <c r="D254" i="3" l="1"/>
  <c r="F252" i="3"/>
  <c r="G252" i="3" s="1"/>
  <c r="E255" i="3" l="1"/>
  <c r="D255" i="3"/>
  <c r="E256" i="3" s="1"/>
  <c r="F253" i="3"/>
  <c r="G253" i="3" s="1"/>
  <c r="D256" i="3" l="1"/>
  <c r="G255" i="3"/>
  <c r="F255" i="3"/>
  <c r="F254" i="3"/>
  <c r="G254" i="3" s="1"/>
  <c r="E257" i="3"/>
  <c r="D257" i="3" l="1"/>
  <c r="D258" i="3" l="1"/>
  <c r="E258" i="3"/>
  <c r="F256" i="3"/>
  <c r="G256" i="3" s="1"/>
  <c r="E259" i="3" l="1"/>
  <c r="D259" i="3"/>
  <c r="E260" i="3" s="1"/>
  <c r="F257" i="3"/>
  <c r="G257" i="3" s="1"/>
  <c r="D260" i="3" l="1"/>
  <c r="G259" i="3"/>
  <c r="F259" i="3"/>
  <c r="F258" i="3"/>
  <c r="G258" i="3" s="1"/>
  <c r="E261" i="3"/>
  <c r="D261" i="3" l="1"/>
  <c r="D262" i="3" l="1"/>
  <c r="E262" i="3"/>
  <c r="F260" i="3"/>
  <c r="G260" i="3" s="1"/>
  <c r="E263" i="3"/>
  <c r="D263" i="3" l="1"/>
  <c r="F261" i="3"/>
  <c r="G261" i="3" s="1"/>
  <c r="F262" i="3"/>
  <c r="G262" i="3" s="1"/>
  <c r="E264" i="3"/>
  <c r="D264" i="3" l="1"/>
  <c r="D265" i="3" l="1"/>
  <c r="E265" i="3"/>
  <c r="F263" i="3"/>
  <c r="G263" i="3" s="1"/>
  <c r="E266" i="3"/>
  <c r="D266" i="3" l="1"/>
  <c r="F264" i="3"/>
  <c r="G264" i="3" s="1"/>
  <c r="D267" i="3" l="1"/>
  <c r="G266" i="3"/>
  <c r="F265" i="3"/>
  <c r="G265" i="3" s="1"/>
  <c r="E267" i="3"/>
  <c r="F266" i="3"/>
  <c r="D268" i="3" l="1"/>
  <c r="E268" i="3"/>
  <c r="E269" i="3"/>
  <c r="D269" i="3" l="1"/>
  <c r="F267" i="3"/>
  <c r="G267" i="3" s="1"/>
  <c r="F268" i="3"/>
  <c r="G268" i="3" s="1"/>
  <c r="D270" i="3" l="1"/>
  <c r="E270" i="3"/>
  <c r="E271" i="3"/>
  <c r="D271" i="3" l="1"/>
  <c r="G270" i="3"/>
  <c r="F269" i="3"/>
  <c r="G269" i="3" s="1"/>
  <c r="F270" i="3"/>
  <c r="E272" i="3"/>
  <c r="D272" i="3" l="1"/>
  <c r="D273" i="3" l="1"/>
  <c r="E273" i="3"/>
  <c r="F271" i="3"/>
  <c r="G271" i="3" s="1"/>
  <c r="E274" i="3"/>
  <c r="D274" i="3" l="1"/>
  <c r="F272" i="3"/>
  <c r="G272" i="3" s="1"/>
  <c r="E275" i="3"/>
  <c r="D275" i="3" l="1"/>
  <c r="F273" i="3"/>
  <c r="G273" i="3" s="1"/>
  <c r="F274" i="3"/>
  <c r="G274" i="3" s="1"/>
  <c r="D276" i="3" l="1"/>
  <c r="E276" i="3"/>
  <c r="D277" i="3" l="1"/>
  <c r="E277" i="3"/>
  <c r="F275" i="3"/>
  <c r="G275" i="3" s="1"/>
  <c r="D278" i="3" l="1"/>
  <c r="G277" i="3"/>
  <c r="F276" i="3"/>
  <c r="G276" i="3" s="1"/>
  <c r="E278" i="3"/>
  <c r="F277" i="3"/>
  <c r="D279" i="3" l="1"/>
  <c r="G278" i="3"/>
  <c r="E279" i="3"/>
  <c r="F278" i="3"/>
  <c r="D280" i="3" l="1"/>
  <c r="E280" i="3"/>
  <c r="F279" i="3" l="1"/>
  <c r="G279" i="3" s="1"/>
  <c r="E281" i="3"/>
  <c r="D281" i="3"/>
  <c r="E282" i="3" s="1"/>
  <c r="D282" i="3" l="1"/>
  <c r="F280" i="3"/>
  <c r="G280" i="3" s="1"/>
  <c r="E283" i="3"/>
  <c r="D283" i="3" l="1"/>
  <c r="G282" i="3"/>
  <c r="F281" i="3"/>
  <c r="G281" i="3" s="1"/>
  <c r="F282" i="3"/>
  <c r="E284" i="3"/>
  <c r="D284" i="3" l="1"/>
  <c r="E285" i="3" s="1"/>
  <c r="D285" i="3" l="1"/>
  <c r="F283" i="3"/>
  <c r="G283" i="3" s="1"/>
  <c r="F284" i="3"/>
  <c r="G284" i="3" s="1"/>
  <c r="E286" i="3"/>
  <c r="D286" i="3" l="1"/>
  <c r="E287" i="3" s="1"/>
  <c r="D287" i="3" l="1"/>
  <c r="E288" i="3" s="1"/>
  <c r="F285" i="3"/>
  <c r="G285" i="3" s="1"/>
  <c r="D288" i="3" l="1"/>
  <c r="F286" i="3"/>
  <c r="G286" i="3" s="1"/>
  <c r="D289" i="3" l="1"/>
  <c r="G288" i="3"/>
  <c r="F287" i="3"/>
  <c r="G287" i="3" s="1"/>
  <c r="E289" i="3"/>
  <c r="F288" i="3"/>
  <c r="D290" i="3" l="1"/>
  <c r="E290" i="3"/>
  <c r="E291" i="3"/>
  <c r="D291" i="3" l="1"/>
  <c r="F289" i="3"/>
  <c r="G289" i="3" s="1"/>
  <c r="F290" i="3"/>
  <c r="G290" i="3" s="1"/>
  <c r="E292" i="3"/>
  <c r="D292" i="3" l="1"/>
  <c r="D293" i="3" l="1"/>
  <c r="G292" i="3"/>
  <c r="F292" i="3"/>
  <c r="E293" i="3"/>
  <c r="F291" i="3"/>
  <c r="G291" i="3" s="1"/>
  <c r="E294" i="3"/>
  <c r="D294" i="3" l="1"/>
  <c r="E295" i="3"/>
  <c r="D295" i="3" l="1"/>
  <c r="F293" i="3"/>
  <c r="G293" i="3" s="1"/>
  <c r="E296" i="3"/>
  <c r="D296" i="3" l="1"/>
  <c r="F294" i="3"/>
  <c r="G294" i="3" s="1"/>
  <c r="D297" i="3" l="1"/>
  <c r="E297" i="3"/>
  <c r="F295" i="3"/>
  <c r="G295" i="3" s="1"/>
  <c r="E298" i="3" l="1"/>
  <c r="D298" i="3"/>
  <c r="F296" i="3"/>
  <c r="G296" i="3" s="1"/>
  <c r="D299" i="3" l="1"/>
  <c r="E299" i="3"/>
  <c r="F298" i="3"/>
  <c r="G298" i="3" s="1"/>
  <c r="F297" i="3"/>
  <c r="G297" i="3" s="1"/>
  <c r="E300" i="3"/>
  <c r="D300" i="3" l="1"/>
  <c r="D301" i="3" l="1"/>
  <c r="E301" i="3"/>
  <c r="F299" i="3"/>
  <c r="G299" i="3" s="1"/>
  <c r="E302" i="3"/>
  <c r="D302" i="3" l="1"/>
  <c r="F300" i="3"/>
  <c r="G300" i="3" s="1"/>
  <c r="E303" i="3"/>
  <c r="D303" i="3" l="1"/>
  <c r="F301" i="3"/>
  <c r="G301" i="3" s="1"/>
  <c r="E304" i="3"/>
  <c r="D304" i="3" l="1"/>
  <c r="F302" i="3"/>
  <c r="G302" i="3" s="1"/>
  <c r="D305" i="3" l="1"/>
  <c r="G304" i="3"/>
  <c r="F303" i="3"/>
  <c r="G303" i="3" s="1"/>
  <c r="E305" i="3"/>
  <c r="F304" i="3"/>
  <c r="E306" i="3"/>
  <c r="D306" i="3" l="1"/>
  <c r="D307" i="3" l="1"/>
  <c r="F306" i="3"/>
  <c r="G306" i="3" s="1"/>
  <c r="E307" i="3"/>
  <c r="F305" i="3"/>
  <c r="G305" i="3" s="1"/>
  <c r="E308" i="3"/>
  <c r="D308" i="3" l="1"/>
  <c r="D309" i="3" l="1"/>
  <c r="G308" i="3"/>
  <c r="E309" i="3"/>
  <c r="F307" i="3"/>
  <c r="G307" i="3" s="1"/>
  <c r="F308" i="3"/>
  <c r="D310" i="3" l="1"/>
  <c r="E310" i="3"/>
  <c r="E311" i="3"/>
  <c r="D311" i="3" l="1"/>
  <c r="F309" i="3"/>
  <c r="G309" i="3" s="1"/>
  <c r="F310" i="3"/>
  <c r="G310" i="3" s="1"/>
  <c r="E312" i="3"/>
  <c r="D312" i="3" l="1"/>
  <c r="E313" i="3"/>
  <c r="D313" i="3" l="1"/>
  <c r="F311" i="3"/>
  <c r="G311" i="3" s="1"/>
  <c r="D314" i="3" l="1"/>
  <c r="F312" i="3"/>
  <c r="G312" i="3" s="1"/>
  <c r="F313" i="3"/>
  <c r="G313" i="3" s="1"/>
  <c r="E314" i="3"/>
  <c r="D315" i="3" l="1"/>
  <c r="E315" i="3"/>
  <c r="F314" i="3"/>
  <c r="G314" i="3" s="1"/>
  <c r="E316" i="3"/>
  <c r="D316" i="3" l="1"/>
  <c r="D317" i="3" l="1"/>
  <c r="G316" i="3"/>
  <c r="F316" i="3"/>
  <c r="E317" i="3"/>
  <c r="F315" i="3"/>
  <c r="G315" i="3" s="1"/>
  <c r="E318" i="3"/>
  <c r="D318" i="3" l="1"/>
  <c r="E319" i="3" s="1"/>
  <c r="D319" i="3" l="1"/>
  <c r="F317" i="3"/>
  <c r="G317" i="3" s="1"/>
  <c r="E320" i="3" l="1"/>
  <c r="D320" i="3"/>
  <c r="F318" i="3"/>
  <c r="G318" i="3" s="1"/>
  <c r="D321" i="3" l="1"/>
  <c r="E321" i="3"/>
  <c r="F320" i="3"/>
  <c r="G320" i="3" s="1"/>
  <c r="F319" i="3"/>
  <c r="G319" i="3" s="1"/>
  <c r="E322" i="3"/>
  <c r="D322" i="3" l="1"/>
  <c r="E323" i="3" s="1"/>
  <c r="D323" i="3" l="1"/>
  <c r="F321" i="3"/>
  <c r="G321" i="3" s="1"/>
  <c r="F322" i="3" l="1"/>
  <c r="G322" i="3" s="1"/>
  <c r="E324" i="3"/>
  <c r="D324" i="3"/>
  <c r="D325" i="3" l="1"/>
  <c r="E325" i="3"/>
  <c r="F324" i="3"/>
  <c r="G324" i="3" s="1"/>
  <c r="F323" i="3"/>
  <c r="G323" i="3" s="1"/>
  <c r="E326" i="3"/>
  <c r="D326" i="3" l="1"/>
  <c r="E327" i="3"/>
  <c r="D327" i="3" l="1"/>
  <c r="F325" i="3"/>
  <c r="G325" i="3" s="1"/>
  <c r="E328" i="3" l="1"/>
  <c r="D328" i="3"/>
  <c r="E329" i="3" s="1"/>
  <c r="F326" i="3"/>
  <c r="G326" i="3" s="1"/>
  <c r="D329" i="3" l="1"/>
  <c r="F328" i="3"/>
  <c r="G328" i="3" s="1"/>
  <c r="F327" i="3"/>
  <c r="G327" i="3" s="1"/>
  <c r="E330" i="3"/>
  <c r="D330" i="3" l="1"/>
  <c r="E331" i="3"/>
  <c r="D331" i="3" l="1"/>
  <c r="F329" i="3"/>
  <c r="G329" i="3" s="1"/>
  <c r="D332" i="3" l="1"/>
  <c r="G331" i="3"/>
  <c r="F330" i="3"/>
  <c r="G330" i="3" s="1"/>
  <c r="E332" i="3"/>
  <c r="F331" i="3"/>
  <c r="E333" i="3"/>
  <c r="D333" i="3" l="1"/>
  <c r="D334" i="3" l="1"/>
  <c r="G333" i="3"/>
  <c r="F332" i="3"/>
  <c r="G332" i="3" s="1"/>
  <c r="E334" i="3"/>
  <c r="F333" i="3"/>
  <c r="E335" i="3"/>
  <c r="D335" i="3" l="1"/>
  <c r="E336" i="3"/>
  <c r="D336" i="3" l="1"/>
  <c r="F334" i="3"/>
  <c r="G334" i="3" s="1"/>
  <c r="D337" i="3" l="1"/>
  <c r="E337" i="3"/>
  <c r="F335" i="3"/>
  <c r="G335" i="3" s="1"/>
  <c r="E338" i="3"/>
  <c r="D338" i="3" l="1"/>
  <c r="E339" i="3" s="1"/>
  <c r="F336" i="3"/>
  <c r="G336" i="3" s="1"/>
  <c r="D339" i="3" l="1"/>
  <c r="F337" i="3"/>
  <c r="G337" i="3" s="1"/>
  <c r="E340" i="3"/>
  <c r="D340" i="3" l="1"/>
  <c r="F338" i="3"/>
  <c r="G338" i="3" s="1"/>
  <c r="F339" i="3" l="1"/>
  <c r="G339" i="3" s="1"/>
  <c r="D341" i="3"/>
  <c r="E341" i="3"/>
  <c r="D342" i="3" l="1"/>
  <c r="E342" i="3"/>
  <c r="F341" i="3"/>
  <c r="G341" i="3" s="1"/>
  <c r="F340" i="3"/>
  <c r="G340" i="3" s="1"/>
  <c r="E343" i="3"/>
  <c r="D343" i="3" l="1"/>
  <c r="D344" i="3" l="1"/>
  <c r="E344" i="3"/>
  <c r="F342" i="3"/>
  <c r="G342" i="3" s="1"/>
  <c r="E345" i="3"/>
  <c r="D345" i="3" l="1"/>
  <c r="F343" i="3"/>
  <c r="G343" i="3" s="1"/>
  <c r="D346" i="3" l="1"/>
  <c r="G345" i="3"/>
  <c r="F344" i="3"/>
  <c r="G344" i="3" s="1"/>
  <c r="E346" i="3"/>
  <c r="F345" i="3"/>
  <c r="E347" i="3"/>
  <c r="D347" i="3" l="1"/>
  <c r="D348" i="3" l="1"/>
  <c r="E348" i="3"/>
  <c r="F346" i="3"/>
  <c r="G346" i="3" s="1"/>
  <c r="E349" i="3"/>
  <c r="D349" i="3" l="1"/>
  <c r="E350" i="3" s="1"/>
  <c r="F347" i="3"/>
  <c r="G347" i="3" s="1"/>
  <c r="D350" i="3" l="1"/>
  <c r="E351" i="3" s="1"/>
  <c r="F348" i="3"/>
  <c r="G348" i="3" s="1"/>
  <c r="D351" i="3" l="1"/>
  <c r="F349" i="3"/>
  <c r="G349" i="3" s="1"/>
  <c r="E352" i="3"/>
  <c r="D352" i="3" l="1"/>
  <c r="F350" i="3"/>
  <c r="G350" i="3" s="1"/>
  <c r="E353" i="3"/>
  <c r="D353" i="3" l="1"/>
  <c r="F351" i="3"/>
  <c r="G351" i="3" s="1"/>
  <c r="E354" i="3"/>
  <c r="D354" i="3" l="1"/>
  <c r="F352" i="3"/>
  <c r="G352" i="3" s="1"/>
  <c r="E355" i="3"/>
  <c r="D355" i="3" l="1"/>
  <c r="F353" i="3"/>
  <c r="G353" i="3" s="1"/>
  <c r="E356" i="3"/>
  <c r="D356" i="3" l="1"/>
  <c r="F354" i="3"/>
  <c r="G354" i="3" s="1"/>
  <c r="E357" i="3"/>
  <c r="D357" i="3" l="1"/>
  <c r="F355" i="3"/>
  <c r="G355" i="3" s="1"/>
  <c r="E358" i="3"/>
  <c r="D358" i="3" l="1"/>
  <c r="F356" i="3"/>
  <c r="G356" i="3" s="1"/>
  <c r="E359" i="3"/>
  <c r="D359" i="3" l="1"/>
  <c r="F357" i="3"/>
  <c r="G357" i="3" s="1"/>
  <c r="E360" i="3"/>
  <c r="D360" i="3" l="1"/>
  <c r="F358" i="3"/>
  <c r="G358" i="3" s="1"/>
  <c r="E361" i="3"/>
  <c r="D361" i="3" l="1"/>
  <c r="F359" i="3"/>
  <c r="G359" i="3" s="1"/>
  <c r="E362" i="3"/>
  <c r="D362" i="3" l="1"/>
  <c r="F360" i="3"/>
  <c r="G360" i="3" s="1"/>
  <c r="E363" i="3"/>
  <c r="D363" i="3" l="1"/>
  <c r="F361" i="3"/>
  <c r="G361" i="3" s="1"/>
  <c r="E364" i="3"/>
  <c r="D364" i="3" l="1"/>
  <c r="F362" i="3"/>
  <c r="G362" i="3" s="1"/>
  <c r="E365" i="3"/>
  <c r="D365" i="3" l="1"/>
  <c r="G364" i="3"/>
  <c r="F363" i="3"/>
  <c r="G363" i="3" s="1"/>
  <c r="F364" i="3"/>
  <c r="E366" i="3"/>
  <c r="D366" i="3" l="1"/>
  <c r="E367" i="3"/>
  <c r="D367" i="3" l="1"/>
  <c r="F365" i="3"/>
  <c r="G365" i="3" s="1"/>
  <c r="E368" i="3"/>
  <c r="D368" i="3" l="1"/>
  <c r="F366" i="3"/>
  <c r="G366" i="3" s="1"/>
  <c r="E369" i="3"/>
  <c r="D369" i="3" l="1"/>
  <c r="F368" i="3" s="1"/>
  <c r="G368" i="3"/>
  <c r="F367" i="3"/>
  <c r="G367" i="3" s="1"/>
  <c r="E370" i="3" l="1"/>
  <c r="D370" i="3"/>
  <c r="E371" i="3"/>
  <c r="D371" i="3" l="1"/>
  <c r="F369" i="3"/>
  <c r="G369" i="3" s="1"/>
  <c r="E372" i="3"/>
  <c r="D372" i="3" l="1"/>
  <c r="F370" i="3"/>
  <c r="G370" i="3" s="1"/>
  <c r="E373" i="3"/>
  <c r="D373" i="3" l="1"/>
  <c r="F371" i="3"/>
  <c r="G371" i="3" s="1"/>
  <c r="E374" i="3"/>
  <c r="D374" i="3" l="1"/>
  <c r="E375" i="3" s="1"/>
  <c r="F372" i="3"/>
  <c r="G372" i="3" s="1"/>
  <c r="D375" i="3" l="1"/>
  <c r="F373" i="3"/>
  <c r="G373" i="3" s="1"/>
  <c r="E376" i="3"/>
  <c r="D376" i="3" l="1"/>
  <c r="F374" i="3"/>
  <c r="G374" i="3" s="1"/>
  <c r="E377" i="3"/>
  <c r="D377" i="3" l="1"/>
  <c r="F375" i="3"/>
  <c r="G375" i="3" s="1"/>
  <c r="E378" i="3"/>
  <c r="D378" i="3" l="1"/>
  <c r="F376" i="3"/>
  <c r="G376" i="3" s="1"/>
  <c r="E379" i="3"/>
  <c r="D379" i="3" l="1"/>
  <c r="F377" i="3"/>
  <c r="G377" i="3" s="1"/>
  <c r="E380" i="3"/>
  <c r="D380" i="3" l="1"/>
  <c r="E381" i="3" s="1"/>
  <c r="F378" i="3"/>
  <c r="G378" i="3" s="1"/>
  <c r="D381" i="3" l="1"/>
  <c r="F379" i="3"/>
  <c r="G379" i="3" s="1"/>
  <c r="E382" i="3" l="1"/>
  <c r="D382" i="3"/>
  <c r="E383" i="3" s="1"/>
  <c r="F380" i="3"/>
  <c r="G380" i="3" s="1"/>
  <c r="D383" i="3" l="1"/>
  <c r="G382" i="3"/>
  <c r="F382" i="3"/>
  <c r="F381" i="3"/>
  <c r="G381" i="3" s="1"/>
  <c r="E384" i="3"/>
  <c r="D384" i="3" l="1"/>
  <c r="E385" i="3" s="1"/>
  <c r="D385" i="3" l="1"/>
  <c r="F383" i="3"/>
  <c r="G383" i="3" s="1"/>
  <c r="E386" i="3" l="1"/>
  <c r="D386" i="3"/>
  <c r="F385" i="3" s="1"/>
  <c r="G385" i="3"/>
  <c r="F384" i="3"/>
  <c r="G384" i="3" s="1"/>
  <c r="E387" i="3" l="1"/>
  <c r="D387" i="3"/>
  <c r="E388" i="3"/>
  <c r="D388" i="3" l="1"/>
  <c r="F386" i="3"/>
  <c r="G386" i="3" s="1"/>
  <c r="E389" i="3"/>
  <c r="D389" i="3" l="1"/>
  <c r="F387" i="3"/>
  <c r="G387" i="3" s="1"/>
  <c r="E390" i="3"/>
  <c r="D390" i="3" l="1"/>
  <c r="E391" i="3" s="1"/>
  <c r="F388" i="3"/>
  <c r="G388" i="3" s="1"/>
  <c r="D391" i="3" l="1"/>
  <c r="F389" i="3"/>
  <c r="G389" i="3" s="1"/>
  <c r="E392" i="3" l="1"/>
  <c r="D392" i="3"/>
  <c r="E393" i="3" s="1"/>
  <c r="F390" i="3"/>
  <c r="G390" i="3" s="1"/>
  <c r="D393" i="3" l="1"/>
  <c r="F392" i="3" s="1"/>
  <c r="G392" i="3"/>
  <c r="F391" i="3"/>
  <c r="G391" i="3" s="1"/>
  <c r="E394" i="3"/>
  <c r="D394" i="3" l="1"/>
  <c r="E395" i="3" s="1"/>
  <c r="D395" i="3" l="1"/>
  <c r="F393" i="3"/>
  <c r="G393" i="3" s="1"/>
  <c r="E396" i="3"/>
  <c r="D396" i="3" l="1"/>
  <c r="F394" i="3"/>
  <c r="G394" i="3" s="1"/>
  <c r="E397" i="3"/>
  <c r="D397" i="3" l="1"/>
  <c r="E398" i="3" s="1"/>
  <c r="F395" i="3"/>
  <c r="G395" i="3" s="1"/>
  <c r="D398" i="3" l="1"/>
  <c r="E399" i="3" s="1"/>
  <c r="F396" i="3"/>
  <c r="G396" i="3" s="1"/>
  <c r="D399" i="3" l="1"/>
  <c r="F397" i="3"/>
  <c r="G397" i="3" s="1"/>
  <c r="E400" i="3"/>
  <c r="D400" i="3" l="1"/>
  <c r="E401" i="3" s="1"/>
  <c r="F398" i="3"/>
  <c r="G398" i="3" s="1"/>
  <c r="D401" i="3" l="1"/>
  <c r="F399" i="3"/>
  <c r="G399" i="3" s="1"/>
  <c r="E402" i="3"/>
  <c r="D402" i="3" l="1"/>
  <c r="F400" i="3"/>
  <c r="G400" i="3" s="1"/>
  <c r="E403" i="3"/>
  <c r="D403" i="3" l="1"/>
  <c r="F401" i="3"/>
  <c r="G401" i="3" s="1"/>
  <c r="E404" i="3"/>
  <c r="D404" i="3" l="1"/>
  <c r="F402" i="3"/>
  <c r="G402" i="3" s="1"/>
  <c r="E405" i="3"/>
  <c r="D405" i="3" l="1"/>
  <c r="F403" i="3"/>
  <c r="G403" i="3" s="1"/>
  <c r="E406" i="3"/>
  <c r="D406" i="3" l="1"/>
  <c r="F404" i="3"/>
  <c r="G404" i="3" s="1"/>
  <c r="E407" i="3"/>
  <c r="D407" i="3" l="1"/>
  <c r="F405" i="3"/>
  <c r="G405" i="3" s="1"/>
  <c r="E408" i="3"/>
  <c r="D408" i="3" l="1"/>
  <c r="F406" i="3"/>
  <c r="G406" i="3" s="1"/>
  <c r="E409" i="3"/>
  <c r="D409" i="3" l="1"/>
  <c r="F407" i="3"/>
  <c r="G407" i="3" s="1"/>
  <c r="E410" i="3"/>
  <c r="D410" i="3" l="1"/>
  <c r="F408" i="3"/>
  <c r="G408" i="3" s="1"/>
  <c r="E411" i="3"/>
  <c r="D411" i="3" l="1"/>
  <c r="F409" i="3"/>
  <c r="G409" i="3" s="1"/>
  <c r="E412" i="3"/>
  <c r="D412" i="3" l="1"/>
  <c r="F410" i="3"/>
  <c r="G410" i="3" s="1"/>
  <c r="D413" i="3" l="1"/>
  <c r="E413" i="3"/>
  <c r="F411" i="3"/>
  <c r="G411" i="3" s="1"/>
  <c r="E414" i="3"/>
  <c r="D414" i="3" l="1"/>
  <c r="F412" i="3"/>
  <c r="G412" i="3" s="1"/>
  <c r="E415" i="3"/>
  <c r="D415" i="3" l="1"/>
  <c r="F413" i="3"/>
  <c r="G413" i="3" s="1"/>
  <c r="E416" i="3"/>
  <c r="D416" i="3" l="1"/>
  <c r="F414" i="3"/>
  <c r="G414" i="3" s="1"/>
  <c r="E417" i="3"/>
  <c r="D417" i="3" l="1"/>
  <c r="F415" i="3"/>
  <c r="G415" i="3" s="1"/>
  <c r="E418" i="3"/>
  <c r="D418" i="3" l="1"/>
  <c r="F416" i="3"/>
  <c r="G416" i="3" s="1"/>
  <c r="E419" i="3"/>
  <c r="D419" i="3" l="1"/>
  <c r="F417" i="3"/>
  <c r="G417" i="3" s="1"/>
  <c r="E420" i="3"/>
  <c r="D420" i="3" l="1"/>
  <c r="F418" i="3"/>
  <c r="G418" i="3" s="1"/>
  <c r="D421" i="3" l="1"/>
  <c r="F420" i="3" s="1"/>
  <c r="G420" i="3" s="1"/>
  <c r="E421" i="3"/>
  <c r="F419" i="3"/>
  <c r="G419" i="3" s="1"/>
  <c r="E422" i="3"/>
  <c r="D422" i="3" l="1"/>
  <c r="D423" i="3" l="1"/>
  <c r="E423" i="3"/>
  <c r="F421" i="3"/>
  <c r="G421" i="3" s="1"/>
  <c r="E424" i="3"/>
  <c r="D424" i="3" l="1"/>
  <c r="F422" i="3"/>
  <c r="G422" i="3" s="1"/>
  <c r="E425" i="3"/>
  <c r="D425" i="3" l="1"/>
  <c r="E426" i="3" s="1"/>
  <c r="F423" i="3"/>
  <c r="G423" i="3" s="1"/>
  <c r="D426" i="3" l="1"/>
  <c r="F424" i="3"/>
  <c r="G424" i="3" s="1"/>
  <c r="E427" i="3"/>
  <c r="D427" i="3" l="1"/>
  <c r="F425" i="3"/>
  <c r="G425" i="3" s="1"/>
  <c r="E428" i="3"/>
  <c r="D428" i="3" l="1"/>
  <c r="F426" i="3"/>
  <c r="G426" i="3" s="1"/>
  <c r="E429" i="3"/>
  <c r="D429" i="3" l="1"/>
  <c r="F427" i="3"/>
  <c r="G427" i="3" s="1"/>
  <c r="E430" i="3" l="1"/>
  <c r="D430" i="3"/>
  <c r="E431" i="3" s="1"/>
  <c r="F428" i="3"/>
  <c r="G428" i="3" s="1"/>
  <c r="D431" i="3" l="1"/>
  <c r="G430" i="3"/>
  <c r="F430" i="3"/>
  <c r="F429" i="3"/>
  <c r="G429" i="3" s="1"/>
  <c r="E432" i="3"/>
  <c r="D432" i="3" l="1"/>
  <c r="E433" i="3"/>
  <c r="D433" i="3" l="1"/>
  <c r="F431" i="3"/>
  <c r="G431" i="3" s="1"/>
  <c r="E434" i="3" l="1"/>
  <c r="D434" i="3"/>
  <c r="E435" i="3" s="1"/>
  <c r="F432" i="3"/>
  <c r="G432" i="3" s="1"/>
  <c r="D435" i="3" l="1"/>
  <c r="G434" i="3"/>
  <c r="F434" i="3"/>
  <c r="F433" i="3"/>
  <c r="G433" i="3" s="1"/>
  <c r="E436" i="3"/>
  <c r="D436" i="3" l="1"/>
  <c r="E437" i="3"/>
  <c r="D437" i="3" l="1"/>
  <c r="F435" i="3"/>
  <c r="G435" i="3" s="1"/>
  <c r="E438" i="3"/>
  <c r="D438" i="3" l="1"/>
  <c r="E439" i="3" s="1"/>
  <c r="F436" i="3"/>
  <c r="G436" i="3" s="1"/>
  <c r="D439" i="3" l="1"/>
  <c r="F437" i="3"/>
  <c r="G437" i="3" s="1"/>
  <c r="E440" i="3" l="1"/>
  <c r="D440" i="3"/>
  <c r="F438" i="3"/>
  <c r="G438" i="3" s="1"/>
  <c r="D441" i="3" l="1"/>
  <c r="G440" i="3"/>
  <c r="E441" i="3"/>
  <c r="F440" i="3"/>
  <c r="F439" i="3"/>
  <c r="G439" i="3" s="1"/>
  <c r="E442" i="3"/>
  <c r="D442" i="3" l="1"/>
  <c r="D443" i="3" l="1"/>
  <c r="E443" i="3"/>
  <c r="F441" i="3"/>
  <c r="G441" i="3" s="1"/>
  <c r="E444" i="3"/>
  <c r="D444" i="3" l="1"/>
  <c r="E445" i="3" s="1"/>
  <c r="F442" i="3"/>
  <c r="G442" i="3" s="1"/>
  <c r="D445" i="3" l="1"/>
  <c r="F443" i="3"/>
  <c r="G443" i="3" s="1"/>
  <c r="D446" i="3" l="1"/>
  <c r="E446" i="3"/>
  <c r="F444" i="3"/>
  <c r="G444" i="3" s="1"/>
  <c r="E447" i="3"/>
  <c r="D447" i="3" l="1"/>
  <c r="F445" i="3"/>
  <c r="G445" i="3" s="1"/>
  <c r="E448" i="3"/>
  <c r="D448" i="3" l="1"/>
  <c r="F446" i="3"/>
  <c r="G446" i="3" s="1"/>
  <c r="E449" i="3"/>
  <c r="D449" i="3" l="1"/>
  <c r="F447" i="3"/>
  <c r="G447" i="3" s="1"/>
  <c r="E450" i="3"/>
  <c r="D450" i="3" l="1"/>
  <c r="F448" i="3"/>
  <c r="G448" i="3" s="1"/>
  <c r="E451" i="3"/>
  <c r="D451" i="3" l="1"/>
  <c r="F449" i="3"/>
  <c r="G449" i="3" s="1"/>
  <c r="E452" i="3"/>
  <c r="D452" i="3" l="1"/>
  <c r="F450" i="3"/>
  <c r="G450" i="3" s="1"/>
  <c r="E453" i="3" l="1"/>
  <c r="D453" i="3"/>
  <c r="E454" i="3" s="1"/>
  <c r="F451" i="3"/>
  <c r="G451" i="3" s="1"/>
  <c r="D454" i="3" l="1"/>
  <c r="G453" i="3"/>
  <c r="F453" i="3"/>
  <c r="F452" i="3"/>
  <c r="G452" i="3" s="1"/>
  <c r="E455" i="3"/>
  <c r="D455" i="3" l="1"/>
  <c r="E456" i="3" s="1"/>
  <c r="D456" i="3" l="1"/>
  <c r="F454" i="3"/>
  <c r="G454" i="3" s="1"/>
  <c r="E457" i="3"/>
  <c r="D457" i="3" l="1"/>
  <c r="F455" i="3"/>
  <c r="G455" i="3" s="1"/>
  <c r="E458" i="3"/>
  <c r="D458" i="3" l="1"/>
  <c r="F456" i="3"/>
  <c r="G456" i="3" s="1"/>
  <c r="E459" i="3"/>
  <c r="D459" i="3" l="1"/>
  <c r="F457" i="3"/>
  <c r="G457" i="3" s="1"/>
  <c r="E460" i="3" l="1"/>
  <c r="D460" i="3"/>
  <c r="F458" i="3"/>
  <c r="G458" i="3" s="1"/>
  <c r="D461" i="3" l="1"/>
  <c r="F460" i="3" s="1"/>
  <c r="G460" i="3"/>
  <c r="E461" i="3"/>
  <c r="F459" i="3"/>
  <c r="G459" i="3" s="1"/>
  <c r="E462" i="3"/>
  <c r="D462" i="3" l="1"/>
  <c r="E463" i="3" l="1"/>
  <c r="D463" i="3"/>
  <c r="E464" i="3" s="1"/>
  <c r="F461" i="3"/>
  <c r="G461" i="3" s="1"/>
  <c r="D464" i="3" l="1"/>
  <c r="G463" i="3"/>
  <c r="F463" i="3"/>
  <c r="F462" i="3"/>
  <c r="G462" i="3" s="1"/>
  <c r="E465" i="3"/>
  <c r="D465" i="3" l="1"/>
  <c r="E466" i="3"/>
  <c r="D466" i="3" l="1"/>
  <c r="F464" i="3"/>
  <c r="G464" i="3" s="1"/>
  <c r="E467" i="3"/>
  <c r="D467" i="3" l="1"/>
  <c r="F465" i="3"/>
  <c r="G465" i="3" s="1"/>
  <c r="E468" i="3"/>
  <c r="D468" i="3" l="1"/>
  <c r="F466" i="3"/>
  <c r="G466" i="3" s="1"/>
  <c r="E469" i="3"/>
  <c r="D469" i="3" l="1"/>
  <c r="F467" i="3"/>
  <c r="G467" i="3" s="1"/>
  <c r="E470" i="3"/>
  <c r="D470" i="3" l="1"/>
  <c r="F468" i="3"/>
  <c r="G468" i="3" s="1"/>
  <c r="E471" i="3"/>
  <c r="D471" i="3" l="1"/>
  <c r="F469" i="3"/>
  <c r="G469" i="3" s="1"/>
  <c r="E472" i="3"/>
  <c r="D472" i="3" l="1"/>
  <c r="F470" i="3"/>
  <c r="G470" i="3" s="1"/>
  <c r="E473" i="3"/>
  <c r="D473" i="3" l="1"/>
  <c r="F471" i="3"/>
  <c r="G471" i="3" s="1"/>
  <c r="E474" i="3"/>
  <c r="D474" i="3" l="1"/>
  <c r="F472" i="3"/>
  <c r="G472" i="3" s="1"/>
  <c r="D475" i="3" l="1"/>
  <c r="E475" i="3"/>
  <c r="F473" i="3"/>
  <c r="G473" i="3" s="1"/>
  <c r="E476" i="3"/>
  <c r="D476" i="3" l="1"/>
  <c r="F474" i="3"/>
  <c r="G474" i="3" s="1"/>
  <c r="E477" i="3"/>
  <c r="D477" i="3" l="1"/>
  <c r="F475" i="3"/>
  <c r="G475" i="3" s="1"/>
  <c r="E478" i="3"/>
  <c r="D478" i="3" l="1"/>
  <c r="E479" i="3" s="1"/>
  <c r="F476" i="3"/>
  <c r="G476" i="3" s="1"/>
  <c r="D479" i="3" l="1"/>
  <c r="F477" i="3"/>
  <c r="G477" i="3" s="1"/>
  <c r="E480" i="3"/>
  <c r="D480" i="3" l="1"/>
  <c r="F478" i="3"/>
  <c r="G478" i="3" s="1"/>
  <c r="E481" i="3"/>
  <c r="D481" i="3" l="1"/>
  <c r="F479" i="3"/>
  <c r="G479" i="3" s="1"/>
  <c r="E482" i="3"/>
  <c r="D482" i="3" l="1"/>
  <c r="F480" i="3"/>
  <c r="G480" i="3" s="1"/>
  <c r="E483" i="3" l="1"/>
  <c r="F481" i="3"/>
  <c r="G481" i="3" s="1"/>
  <c r="D483" i="3"/>
  <c r="D484" i="3" l="1"/>
  <c r="G483" i="3"/>
  <c r="E484" i="3"/>
  <c r="F483" i="3"/>
  <c r="F482" i="3"/>
  <c r="G482" i="3" s="1"/>
  <c r="E485" i="3"/>
  <c r="D485" i="3" l="1"/>
  <c r="E486" i="3"/>
  <c r="D486" i="3" l="1"/>
  <c r="F484" i="3"/>
  <c r="G484" i="3" s="1"/>
  <c r="E487" i="3"/>
  <c r="D487" i="3" l="1"/>
  <c r="F485" i="3"/>
  <c r="G485" i="3" s="1"/>
  <c r="E488" i="3"/>
  <c r="D488" i="3" l="1"/>
  <c r="G487" i="3"/>
  <c r="F487" i="3"/>
  <c r="F486" i="3"/>
  <c r="G486" i="3" s="1"/>
  <c r="E489" i="3"/>
  <c r="D489" i="3" l="1"/>
  <c r="E490" i="3" l="1"/>
  <c r="D490" i="3"/>
  <c r="F488" i="3"/>
  <c r="G488" i="3" s="1"/>
  <c r="D491" i="3" l="1"/>
  <c r="G490" i="3"/>
  <c r="E491" i="3"/>
  <c r="F490" i="3"/>
  <c r="F489" i="3"/>
  <c r="G489" i="3" s="1"/>
  <c r="E492" i="3"/>
  <c r="D492" i="3" l="1"/>
  <c r="E493" i="3" s="1"/>
  <c r="D493" i="3" l="1"/>
  <c r="F491" i="3"/>
  <c r="G491" i="3" s="1"/>
  <c r="E494" i="3"/>
  <c r="D494" i="3" l="1"/>
  <c r="F492" i="3"/>
  <c r="G492" i="3" s="1"/>
  <c r="E495" i="3"/>
  <c r="D495" i="3" l="1"/>
  <c r="F493" i="3"/>
  <c r="G493" i="3" s="1"/>
  <c r="E496" i="3"/>
  <c r="D496" i="3" l="1"/>
  <c r="E497" i="3" s="1"/>
  <c r="F494" i="3"/>
  <c r="G494" i="3" s="1"/>
  <c r="D497" i="3" l="1"/>
  <c r="F495" i="3"/>
  <c r="G495" i="3" s="1"/>
  <c r="F496" i="3"/>
  <c r="G496" i="3" s="1"/>
  <c r="E498" i="3"/>
  <c r="D498" i="3" l="1"/>
  <c r="E499" i="3" l="1"/>
  <c r="F497" i="3"/>
  <c r="G497" i="3" s="1"/>
  <c r="D499" i="3"/>
  <c r="D500" i="3" l="1"/>
  <c r="E501" i="3" s="1"/>
  <c r="E500" i="3"/>
  <c r="F498" i="3"/>
  <c r="G498" i="3" s="1"/>
  <c r="F499" i="3" l="1"/>
  <c r="G499" i="3" s="1"/>
  <c r="D501" i="3"/>
  <c r="D502" i="3" l="1"/>
  <c r="G501" i="3"/>
  <c r="F500" i="3"/>
  <c r="G500" i="3" s="1"/>
  <c r="E502" i="3"/>
  <c r="F501" i="3"/>
  <c r="E503" i="3"/>
  <c r="D503" i="3" l="1"/>
  <c r="E504" i="3"/>
  <c r="D504" i="3" l="1"/>
  <c r="E505" i="3" s="1"/>
  <c r="F502" i="3"/>
  <c r="G502" i="3" s="1"/>
  <c r="D505" i="3" l="1"/>
  <c r="F503" i="3"/>
  <c r="G503" i="3" s="1"/>
  <c r="E506" i="3" l="1"/>
  <c r="D506" i="3"/>
  <c r="F505" i="3" s="1"/>
  <c r="G505" i="3"/>
  <c r="F504" i="3"/>
  <c r="G504" i="3" s="1"/>
  <c r="E507" i="3" l="1"/>
  <c r="D507" i="3"/>
  <c r="D508" i="3" l="1"/>
  <c r="G507" i="3"/>
  <c r="F506" i="3"/>
  <c r="G506" i="3" s="1"/>
  <c r="E508" i="3"/>
  <c r="F507" i="3"/>
  <c r="E509" i="3"/>
  <c r="D509" i="3" l="1"/>
  <c r="E510" i="3"/>
  <c r="D510" i="3" l="1"/>
  <c r="F508" i="3"/>
  <c r="G508" i="3" s="1"/>
  <c r="E511" i="3"/>
  <c r="D511" i="3" l="1"/>
  <c r="F509" i="3"/>
  <c r="G509" i="3" s="1"/>
  <c r="E512" i="3"/>
  <c r="D512" i="3" l="1"/>
  <c r="E513" i="3" s="1"/>
  <c r="F510" i="3"/>
  <c r="G510" i="3" s="1"/>
  <c r="D513" i="3" l="1"/>
  <c r="F511" i="3"/>
  <c r="G511" i="3" s="1"/>
  <c r="E514" i="3"/>
  <c r="D514" i="3" l="1"/>
  <c r="F512" i="3"/>
  <c r="G512" i="3" s="1"/>
  <c r="D515" i="3" l="1"/>
  <c r="G514" i="3"/>
  <c r="F513" i="3"/>
  <c r="G513" i="3" s="1"/>
  <c r="E515" i="3"/>
  <c r="F514" i="3"/>
  <c r="D516" i="3" l="1"/>
  <c r="E516" i="3"/>
  <c r="E517" i="3"/>
  <c r="D517" i="3" l="1"/>
  <c r="F515" i="3"/>
  <c r="G515" i="3" s="1"/>
  <c r="E518" i="3" l="1"/>
  <c r="F516" i="3"/>
  <c r="G516" i="3" s="1"/>
  <c r="D518" i="3"/>
  <c r="D519" i="3" l="1"/>
  <c r="E519" i="3"/>
  <c r="F517" i="3"/>
  <c r="G517" i="3" s="1"/>
  <c r="E520" i="3"/>
  <c r="D520" i="3" l="1"/>
  <c r="F518" i="3"/>
  <c r="G518" i="3" s="1"/>
  <c r="D521" i="3" l="1"/>
  <c r="G520" i="3"/>
  <c r="F519" i="3"/>
  <c r="G519" i="3" s="1"/>
  <c r="F520" i="3"/>
  <c r="E521" i="3"/>
  <c r="D522" i="3" l="1"/>
  <c r="E522" i="3"/>
  <c r="F521" i="3"/>
  <c r="G521" i="3" s="1"/>
  <c r="E523" i="3"/>
  <c r="D523" i="3" l="1"/>
  <c r="D524" i="3" l="1"/>
  <c r="F523" i="3"/>
  <c r="G523" i="3" s="1"/>
  <c r="E524" i="3"/>
  <c r="F522" i="3"/>
  <c r="G522" i="3" s="1"/>
  <c r="E525" i="3"/>
  <c r="D525" i="3" l="1"/>
  <c r="E526" i="3" s="1"/>
  <c r="D526" i="3" l="1"/>
  <c r="E527" i="3" s="1"/>
  <c r="F524" i="3"/>
  <c r="G524" i="3" s="1"/>
  <c r="D527" i="3" l="1"/>
  <c r="F525" i="3"/>
  <c r="G525" i="3" s="1"/>
  <c r="D528" i="3" l="1"/>
  <c r="E528" i="3"/>
  <c r="F526" i="3"/>
  <c r="G526" i="3" s="1"/>
  <c r="D529" i="3" l="1"/>
  <c r="G528" i="3"/>
  <c r="F527" i="3"/>
  <c r="G527" i="3" s="1"/>
  <c r="F528" i="3"/>
  <c r="E529" i="3"/>
  <c r="E530" i="3"/>
  <c r="D530" i="3" l="1"/>
  <c r="E531" i="3"/>
  <c r="D531" i="3" l="1"/>
  <c r="F529" i="3"/>
  <c r="G529" i="3" s="1"/>
  <c r="E532" i="3"/>
  <c r="D532" i="3" l="1"/>
  <c r="F530" i="3"/>
  <c r="G530" i="3" s="1"/>
  <c r="E533" i="3"/>
  <c r="D533" i="3" l="1"/>
  <c r="F531" i="3"/>
  <c r="G531" i="3" s="1"/>
  <c r="E534" i="3"/>
  <c r="D534" i="3" l="1"/>
  <c r="F532" i="3"/>
  <c r="G532" i="3" s="1"/>
  <c r="E535" i="3" l="1"/>
  <c r="F533" i="3"/>
  <c r="G533" i="3" s="1"/>
  <c r="D535" i="3"/>
  <c r="E536" i="3" s="1"/>
  <c r="D536" i="3" l="1"/>
  <c r="F534" i="3"/>
  <c r="G534" i="3" s="1"/>
  <c r="E537" i="3"/>
  <c r="D537" i="3" l="1"/>
  <c r="G536" i="3"/>
  <c r="F535" i="3"/>
  <c r="G535" i="3" s="1"/>
  <c r="F536" i="3"/>
  <c r="E538" i="3"/>
  <c r="D538" i="3" l="1"/>
  <c r="D539" i="3" l="1"/>
  <c r="G538" i="3"/>
  <c r="F537" i="3"/>
  <c r="G537" i="3" s="1"/>
  <c r="F538" i="3"/>
  <c r="E539" i="3"/>
  <c r="D540" i="3" l="1"/>
  <c r="E540" i="3"/>
  <c r="F539" i="3"/>
  <c r="G539" i="3" s="1"/>
  <c r="D541" i="3" l="1"/>
  <c r="G540" i="3"/>
  <c r="E541" i="3"/>
  <c r="F540" i="3"/>
  <c r="E542" i="3"/>
  <c r="D542" i="3" l="1"/>
  <c r="D543" i="3" l="1"/>
  <c r="G542" i="3"/>
  <c r="E543" i="3"/>
  <c r="F541" i="3"/>
  <c r="G541" i="3" s="1"/>
  <c r="F542" i="3"/>
  <c r="E544" i="3"/>
  <c r="D544" i="3" l="1"/>
  <c r="E545" i="3" l="1"/>
  <c r="D545" i="3"/>
  <c r="F544" i="3" s="1"/>
  <c r="G544" i="3"/>
  <c r="F543" i="3"/>
  <c r="G543" i="3" s="1"/>
  <c r="E546" i="3" l="1"/>
  <c r="D546" i="3"/>
  <c r="E547" i="3" l="1"/>
  <c r="D547" i="3"/>
  <c r="F546" i="3" s="1"/>
  <c r="G546" i="3"/>
  <c r="F545" i="3"/>
  <c r="G545" i="3" s="1"/>
  <c r="E548" i="3" l="1"/>
  <c r="D548" i="3"/>
  <c r="E549" i="3"/>
  <c r="D549" i="3" l="1"/>
  <c r="F547" i="3"/>
  <c r="G547" i="3" s="1"/>
  <c r="E550" i="3"/>
  <c r="D550" i="3" l="1"/>
  <c r="F548" i="3"/>
  <c r="G548" i="3" s="1"/>
  <c r="E551" i="3"/>
  <c r="D551" i="3" l="1"/>
  <c r="E552" i="3" s="1"/>
  <c r="F549" i="3"/>
  <c r="G549" i="3" s="1"/>
  <c r="D552" i="3" l="1"/>
  <c r="F550" i="3"/>
  <c r="G550" i="3" s="1"/>
  <c r="E553" i="3" l="1"/>
  <c r="D553" i="3"/>
  <c r="F552" i="3" s="1"/>
  <c r="G552" i="3"/>
  <c r="F551" i="3"/>
  <c r="G551" i="3" s="1"/>
  <c r="E554" i="3" l="1"/>
  <c r="D554" i="3"/>
  <c r="E555" i="3" l="1"/>
  <c r="D555" i="3"/>
  <c r="F554" i="3" s="1"/>
  <c r="G554" i="3"/>
  <c r="F553" i="3"/>
  <c r="G553" i="3" s="1"/>
  <c r="E556" i="3" l="1"/>
  <c r="D556" i="3"/>
  <c r="E557" i="3"/>
  <c r="D557" i="3" l="1"/>
  <c r="F555" i="3"/>
  <c r="G555" i="3" s="1"/>
  <c r="E558" i="3"/>
  <c r="D558" i="3" l="1"/>
  <c r="F556" i="3"/>
  <c r="G556" i="3" s="1"/>
  <c r="E559" i="3" l="1"/>
  <c r="F557" i="3"/>
  <c r="G557" i="3" s="1"/>
  <c r="D559" i="3"/>
  <c r="D560" i="3" l="1"/>
  <c r="G559" i="3"/>
  <c r="F559" i="3"/>
  <c r="E560" i="3"/>
  <c r="F558" i="3"/>
  <c r="G558" i="3" s="1"/>
  <c r="E561" i="3" l="1"/>
  <c r="D561" i="3"/>
  <c r="F560" i="3" s="1"/>
  <c r="G560" i="3"/>
  <c r="E562" i="3"/>
  <c r="D562" i="3" l="1"/>
  <c r="E563" i="3"/>
  <c r="D563" i="3" l="1"/>
  <c r="F561" i="3"/>
  <c r="G561" i="3" s="1"/>
  <c r="E564" i="3"/>
  <c r="D564" i="3" l="1"/>
  <c r="F562" i="3"/>
  <c r="G562" i="3" s="1"/>
  <c r="E565" i="3"/>
  <c r="D565" i="3" l="1"/>
  <c r="G564" i="3"/>
  <c r="F563" i="3"/>
  <c r="G563" i="3" s="1"/>
  <c r="F564" i="3"/>
  <c r="D566" i="3" l="1"/>
  <c r="G565" i="3"/>
  <c r="E566" i="3"/>
  <c r="F565" i="3"/>
  <c r="E567" i="3"/>
  <c r="D567" i="3" l="1"/>
  <c r="E568" i="3"/>
  <c r="D568" i="3" l="1"/>
  <c r="F566" i="3"/>
  <c r="G566" i="3" s="1"/>
  <c r="E569" i="3"/>
  <c r="D569" i="3" l="1"/>
  <c r="F567" i="3"/>
  <c r="G567" i="3" s="1"/>
  <c r="E570" i="3"/>
  <c r="D570" i="3" l="1"/>
  <c r="F568" i="3"/>
  <c r="G568" i="3" s="1"/>
  <c r="E571" i="3"/>
  <c r="D571" i="3" l="1"/>
  <c r="F569" i="3"/>
  <c r="G569" i="3" s="1"/>
  <c r="E572" i="3"/>
  <c r="D572" i="3" l="1"/>
  <c r="F570" i="3"/>
  <c r="G570" i="3" s="1"/>
  <c r="D573" i="3" l="1"/>
  <c r="G572" i="3"/>
  <c r="F571" i="3"/>
  <c r="G571" i="3" s="1"/>
  <c r="E573" i="3"/>
  <c r="F572" i="3"/>
  <c r="E574" i="3"/>
  <c r="D574" i="3" l="1"/>
  <c r="D575" i="3" l="1"/>
  <c r="G574" i="3"/>
  <c r="F574" i="3"/>
  <c r="E575" i="3"/>
  <c r="F573" i="3"/>
  <c r="G573" i="3" s="1"/>
  <c r="E576" i="3"/>
  <c r="D576" i="3" l="1"/>
  <c r="E577" i="3"/>
  <c r="D577" i="3" l="1"/>
  <c r="F575" i="3"/>
  <c r="G575" i="3" s="1"/>
  <c r="E578" i="3"/>
  <c r="D578" i="3" l="1"/>
  <c r="F577" i="3" s="1"/>
  <c r="G577" i="3"/>
  <c r="F576" i="3"/>
  <c r="G576" i="3" s="1"/>
  <c r="D579" i="3" l="1"/>
  <c r="E579" i="3"/>
  <c r="D580" i="3" l="1"/>
  <c r="E580" i="3"/>
  <c r="F578" i="3"/>
  <c r="G578" i="3" s="1"/>
  <c r="D581" i="3" l="1"/>
  <c r="G580" i="3"/>
  <c r="F579" i="3"/>
  <c r="G579" i="3" s="1"/>
  <c r="E581" i="3"/>
  <c r="F580" i="3"/>
  <c r="D582" i="3" l="1"/>
  <c r="G581" i="3"/>
  <c r="E582" i="3"/>
  <c r="F581" i="3"/>
  <c r="E583" i="3"/>
  <c r="D583" i="3" l="1"/>
  <c r="D584" i="3" l="1"/>
  <c r="G583" i="3"/>
  <c r="E584" i="3"/>
  <c r="F582" i="3"/>
  <c r="G582" i="3" s="1"/>
  <c r="F583" i="3"/>
  <c r="D585" i="3" l="1"/>
  <c r="E585" i="3"/>
  <c r="D586" i="3" l="1"/>
  <c r="E586" i="3"/>
  <c r="F584" i="3"/>
  <c r="G584" i="3" s="1"/>
  <c r="D587" i="3" l="1"/>
  <c r="F585" i="3"/>
  <c r="G585" i="3" s="1"/>
  <c r="E587" i="3"/>
  <c r="F586" i="3" l="1"/>
  <c r="G586" i="3" s="1"/>
  <c r="E588" i="3"/>
  <c r="D588" i="3"/>
  <c r="D589" i="3" l="1"/>
  <c r="E589" i="3"/>
  <c r="F588" i="3"/>
  <c r="G588" i="3" s="1"/>
  <c r="F587" i="3"/>
  <c r="G587" i="3" s="1"/>
  <c r="E590" i="3"/>
  <c r="D590" i="3" l="1"/>
  <c r="E591" i="3"/>
  <c r="D591" i="3" l="1"/>
  <c r="F589" i="3"/>
  <c r="G589" i="3" s="1"/>
  <c r="E592" i="3"/>
  <c r="D592" i="3" l="1"/>
  <c r="F590" i="3"/>
  <c r="G590" i="3" s="1"/>
  <c r="E593" i="3"/>
  <c r="D593" i="3" l="1"/>
  <c r="E594" i="3" s="1"/>
  <c r="F591" i="3"/>
  <c r="G591" i="3" s="1"/>
  <c r="D594" i="3" l="1"/>
  <c r="F592" i="3"/>
  <c r="G592" i="3" s="1"/>
  <c r="E595" i="3"/>
  <c r="D595" i="3" l="1"/>
  <c r="F593" i="3"/>
  <c r="G593" i="3" s="1"/>
  <c r="E596" i="3"/>
  <c r="D596" i="3" l="1"/>
  <c r="F594" i="3"/>
  <c r="G594" i="3" s="1"/>
  <c r="E597" i="3"/>
  <c r="D597" i="3" l="1"/>
  <c r="F595" i="3"/>
  <c r="G595" i="3" s="1"/>
  <c r="E598" i="3"/>
  <c r="D598" i="3" l="1"/>
  <c r="F596" i="3"/>
  <c r="G596" i="3" s="1"/>
  <c r="E599" i="3"/>
  <c r="D599" i="3" l="1"/>
  <c r="F597" i="3"/>
  <c r="G597" i="3" s="1"/>
  <c r="E600" i="3"/>
  <c r="D600" i="3" l="1"/>
  <c r="F598" i="3"/>
  <c r="G598" i="3" s="1"/>
  <c r="E601" i="3"/>
  <c r="D601" i="3" l="1"/>
  <c r="F599" i="3"/>
  <c r="G599" i="3" s="1"/>
  <c r="E602" i="3"/>
  <c r="D602" i="3" l="1"/>
  <c r="F600" i="3"/>
  <c r="G600" i="3" s="1"/>
  <c r="E603" i="3"/>
  <c r="D603" i="3" l="1"/>
  <c r="E604" i="3" s="1"/>
  <c r="F601" i="3"/>
  <c r="G601" i="3" s="1"/>
  <c r="D604" i="3" l="1"/>
  <c r="F602" i="3"/>
  <c r="G602" i="3" s="1"/>
  <c r="D605" i="3" l="1"/>
  <c r="G604" i="3"/>
  <c r="F604" i="3"/>
  <c r="E605" i="3"/>
  <c r="F603" i="3"/>
  <c r="G603" i="3" s="1"/>
  <c r="E606" i="3"/>
  <c r="D606" i="3" l="1"/>
  <c r="D607" i="3" l="1"/>
  <c r="E607" i="3"/>
  <c r="F605" i="3"/>
  <c r="G605" i="3" s="1"/>
  <c r="E608" i="3"/>
  <c r="D608" i="3" l="1"/>
  <c r="F606" i="3"/>
  <c r="G606" i="3" s="1"/>
  <c r="E609" i="3"/>
  <c r="D609" i="3" l="1"/>
  <c r="F607" i="3"/>
  <c r="G607" i="3" s="1"/>
  <c r="E610" i="3"/>
  <c r="D610" i="3" l="1"/>
  <c r="F608" i="3"/>
  <c r="G608" i="3" s="1"/>
  <c r="E611" i="3"/>
  <c r="D611" i="3" l="1"/>
  <c r="F609" i="3"/>
  <c r="G609" i="3" s="1"/>
  <c r="D612" i="3" l="1"/>
  <c r="G611" i="3"/>
  <c r="F611" i="3"/>
  <c r="E612" i="3"/>
  <c r="F610" i="3"/>
  <c r="G610" i="3" s="1"/>
  <c r="E613" i="3"/>
  <c r="D613" i="3" l="1"/>
  <c r="E614" i="3"/>
  <c r="D614" i="3" l="1"/>
  <c r="F612" i="3"/>
  <c r="G612" i="3" s="1"/>
  <c r="E615" i="3"/>
  <c r="D615" i="3" l="1"/>
  <c r="F613" i="3"/>
  <c r="G613" i="3" s="1"/>
  <c r="E616" i="3"/>
  <c r="D616" i="3" l="1"/>
  <c r="F614" i="3"/>
  <c r="G614" i="3" s="1"/>
  <c r="E617" i="3"/>
  <c r="D617" i="3" l="1"/>
  <c r="F615" i="3"/>
  <c r="G615" i="3" s="1"/>
  <c r="E618" i="3"/>
  <c r="D618" i="3" l="1"/>
  <c r="F616" i="3"/>
  <c r="G616" i="3" s="1"/>
  <c r="E619" i="3"/>
  <c r="D619" i="3" l="1"/>
  <c r="F617" i="3"/>
  <c r="G617" i="3" s="1"/>
  <c r="E620" i="3"/>
  <c r="D620" i="3" l="1"/>
  <c r="F618" i="3"/>
  <c r="G618" i="3" s="1"/>
  <c r="E621" i="3"/>
  <c r="D621" i="3" l="1"/>
  <c r="F619" i="3"/>
  <c r="G619" i="3" s="1"/>
  <c r="E622" i="3" l="1"/>
  <c r="D622" i="3"/>
  <c r="F620" i="3"/>
  <c r="G620" i="3" s="1"/>
  <c r="D623" i="3" l="1"/>
  <c r="E623" i="3"/>
  <c r="F622" i="3"/>
  <c r="G622" i="3" s="1"/>
  <c r="F621" i="3"/>
  <c r="G621" i="3" s="1"/>
  <c r="E624" i="3"/>
  <c r="D624" i="3" l="1"/>
  <c r="E625" i="3"/>
  <c r="D625" i="3" l="1"/>
  <c r="F623" i="3"/>
  <c r="G623" i="3" s="1"/>
  <c r="E626" i="3" l="1"/>
  <c r="D626" i="3"/>
  <c r="F624" i="3"/>
  <c r="G624" i="3" s="1"/>
  <c r="D627" i="3" l="1"/>
  <c r="G626" i="3"/>
  <c r="E627" i="3"/>
  <c r="F626" i="3"/>
  <c r="F625" i="3"/>
  <c r="G625" i="3" s="1"/>
  <c r="E628" i="3"/>
  <c r="D628" i="3" l="1"/>
  <c r="D629" i="3" l="1"/>
  <c r="E629" i="3"/>
  <c r="F627" i="3"/>
  <c r="G627" i="3" s="1"/>
  <c r="E630" i="3"/>
  <c r="D630" i="3" l="1"/>
  <c r="F628" i="3"/>
  <c r="G628" i="3" s="1"/>
  <c r="D631" i="3" l="1"/>
  <c r="E631" i="3"/>
  <c r="F629" i="3"/>
  <c r="G629" i="3" s="1"/>
  <c r="D632" i="3" l="1"/>
  <c r="E632" i="3"/>
  <c r="F630" i="3"/>
  <c r="G630" i="3" s="1"/>
  <c r="D633" i="3" l="1"/>
  <c r="G632" i="3"/>
  <c r="F631" i="3"/>
  <c r="G631" i="3" s="1"/>
  <c r="E633" i="3"/>
  <c r="F632" i="3"/>
  <c r="E634" i="3"/>
  <c r="D634" i="3" l="1"/>
  <c r="D635" i="3" l="1"/>
  <c r="G634" i="3"/>
  <c r="F634" i="3"/>
  <c r="E635" i="3"/>
  <c r="F633" i="3"/>
  <c r="G633" i="3" s="1"/>
  <c r="E636" i="3"/>
  <c r="D636" i="3" l="1"/>
  <c r="E637" i="3" s="1"/>
  <c r="D637" i="3" l="1"/>
  <c r="F635" i="3"/>
  <c r="G635" i="3" s="1"/>
  <c r="E638" i="3"/>
  <c r="D638" i="3" l="1"/>
  <c r="E639" i="3" s="1"/>
  <c r="F636" i="3"/>
  <c r="G636" i="3" s="1"/>
  <c r="D639" i="3" l="1"/>
  <c r="F637" i="3"/>
  <c r="G637" i="3" s="1"/>
  <c r="F638" i="3" l="1"/>
  <c r="G638" i="3" s="1"/>
  <c r="D640" i="3"/>
  <c r="F639" i="3" s="1"/>
  <c r="G639" i="3" s="1"/>
  <c r="E640" i="3"/>
  <c r="E641" i="3" l="1"/>
  <c r="D641" i="3"/>
  <c r="D642" i="3" l="1"/>
  <c r="G641" i="3"/>
  <c r="F640" i="3"/>
  <c r="G640" i="3" s="1"/>
  <c r="E642" i="3"/>
  <c r="F641" i="3"/>
  <c r="D643" i="3" l="1"/>
  <c r="E643" i="3"/>
  <c r="E644" i="3"/>
  <c r="D644" i="3" l="1"/>
  <c r="F642" i="3"/>
  <c r="G642" i="3" s="1"/>
  <c r="E645" i="3"/>
  <c r="D645" i="3" l="1"/>
  <c r="F643" i="3"/>
  <c r="G643" i="3" s="1"/>
  <c r="E646" i="3"/>
  <c r="D646" i="3" l="1"/>
  <c r="G645" i="3"/>
  <c r="F644" i="3"/>
  <c r="G644" i="3" s="1"/>
  <c r="F645" i="3"/>
  <c r="D647" i="3" l="1"/>
  <c r="E647" i="3"/>
  <c r="E648" i="3"/>
  <c r="D648" i="3" l="1"/>
  <c r="G647" i="3"/>
  <c r="F646" i="3"/>
  <c r="G646" i="3" s="1"/>
  <c r="F647" i="3"/>
  <c r="E649" i="3"/>
  <c r="D649" i="3" l="1"/>
  <c r="D650" i="3" l="1"/>
  <c r="G649" i="3"/>
  <c r="F649" i="3"/>
  <c r="E650" i="3"/>
  <c r="F648" i="3"/>
  <c r="G648" i="3" s="1"/>
  <c r="E651" i="3"/>
  <c r="D651" i="3" l="1"/>
  <c r="E652" i="3"/>
  <c r="D652" i="3" l="1"/>
  <c r="F650" i="3"/>
  <c r="G650" i="3" s="1"/>
  <c r="E653" i="3"/>
  <c r="D653" i="3" l="1"/>
  <c r="F651" i="3"/>
  <c r="G651" i="3" s="1"/>
  <c r="E654" i="3"/>
  <c r="D654" i="3" l="1"/>
  <c r="F652" i="3"/>
  <c r="G652" i="3" s="1"/>
  <c r="E655" i="3"/>
  <c r="D655" i="3" l="1"/>
  <c r="F653" i="3"/>
  <c r="G653" i="3" s="1"/>
  <c r="E656" i="3"/>
  <c r="D656" i="3" l="1"/>
  <c r="F654" i="3"/>
  <c r="G654" i="3" s="1"/>
  <c r="E657" i="3"/>
  <c r="D657" i="3" l="1"/>
  <c r="F655" i="3"/>
  <c r="G655" i="3" s="1"/>
  <c r="F656" i="3"/>
  <c r="G656" i="3" s="1"/>
  <c r="E658" i="3"/>
  <c r="D658" i="3" l="1"/>
  <c r="E659" i="3" s="1"/>
  <c r="D659" i="3" l="1"/>
  <c r="G658" i="3"/>
  <c r="F657" i="3"/>
  <c r="G657" i="3" s="1"/>
  <c r="F658" i="3"/>
  <c r="E660" i="3"/>
  <c r="D660" i="3" l="1"/>
  <c r="D661" i="3" l="1"/>
  <c r="G660" i="3"/>
  <c r="F659" i="3"/>
  <c r="G659" i="3" s="1"/>
  <c r="E661" i="3"/>
  <c r="F660" i="3"/>
  <c r="E662" i="3"/>
  <c r="D662" i="3" l="1"/>
  <c r="D663" i="3" l="1"/>
  <c r="G662" i="3"/>
  <c r="F661" i="3"/>
  <c r="G661" i="3" s="1"/>
  <c r="E663" i="3"/>
  <c r="F662" i="3"/>
  <c r="E664" i="3"/>
  <c r="D664" i="3" l="1"/>
  <c r="E665" i="3"/>
  <c r="D665" i="3" l="1"/>
  <c r="F663" i="3"/>
  <c r="G663" i="3" s="1"/>
  <c r="E666" i="3"/>
  <c r="D666" i="3" l="1"/>
  <c r="F664" i="3"/>
  <c r="G664" i="3" s="1"/>
  <c r="D667" i="3" l="1"/>
  <c r="G666" i="3"/>
  <c r="F665" i="3"/>
  <c r="G665" i="3" s="1"/>
  <c r="F666" i="3"/>
  <c r="E667" i="3"/>
  <c r="D668" i="3" l="1"/>
  <c r="G667" i="3"/>
  <c r="E668" i="3"/>
  <c r="F667" i="3"/>
  <c r="E669" i="3"/>
  <c r="D669" i="3" l="1"/>
  <c r="D670" i="3" l="1"/>
  <c r="G669" i="3"/>
  <c r="F668" i="3"/>
  <c r="G668" i="3" s="1"/>
  <c r="E670" i="3"/>
  <c r="F669" i="3"/>
  <c r="E671" i="3"/>
  <c r="D671" i="3" l="1"/>
  <c r="D672" i="3" l="1"/>
  <c r="F671" i="3"/>
  <c r="G671" i="3" s="1"/>
  <c r="E672" i="3"/>
  <c r="F670" i="3"/>
  <c r="G670" i="3" s="1"/>
  <c r="E673" i="3"/>
  <c r="D673" i="3" l="1"/>
  <c r="E674" i="3"/>
  <c r="D674" i="3" l="1"/>
  <c r="F672" i="3"/>
  <c r="G672" i="3" s="1"/>
  <c r="D675" i="3" l="1"/>
  <c r="G674" i="3"/>
  <c r="F673" i="3"/>
  <c r="G673" i="3" s="1"/>
  <c r="F674" i="3"/>
  <c r="E675" i="3"/>
  <c r="E676" i="3"/>
  <c r="D676" i="3" l="1"/>
  <c r="E677" i="3" s="1"/>
  <c r="D677" i="3" l="1"/>
  <c r="E678" i="3" s="1"/>
  <c r="F675" i="3"/>
  <c r="G675" i="3" s="1"/>
  <c r="D678" i="3" l="1"/>
  <c r="F676" i="3"/>
  <c r="G676" i="3" s="1"/>
  <c r="D679" i="3" l="1"/>
  <c r="E679" i="3"/>
  <c r="F677" i="3"/>
  <c r="G677" i="3" s="1"/>
  <c r="E680" i="3"/>
  <c r="D680" i="3" l="1"/>
  <c r="F678" i="3"/>
  <c r="G678" i="3" s="1"/>
  <c r="E681" i="3"/>
  <c r="D681" i="3" l="1"/>
  <c r="F679" i="3"/>
  <c r="G679" i="3" s="1"/>
  <c r="E682" i="3"/>
  <c r="D682" i="3" l="1"/>
  <c r="E683" i="3" s="1"/>
  <c r="F680" i="3"/>
  <c r="G680" i="3" s="1"/>
  <c r="D683" i="3" l="1"/>
  <c r="F681" i="3"/>
  <c r="G681" i="3" s="1"/>
  <c r="E684" i="3"/>
  <c r="D684" i="3" l="1"/>
  <c r="E685" i="3" s="1"/>
  <c r="F682" i="3"/>
  <c r="G682" i="3" s="1"/>
  <c r="D685" i="3" l="1"/>
  <c r="F683" i="3"/>
  <c r="G683" i="3" s="1"/>
  <c r="E686" i="3"/>
  <c r="D686" i="3" l="1"/>
  <c r="E687" i="3" s="1"/>
  <c r="F684" i="3"/>
  <c r="G684" i="3" s="1"/>
  <c r="D687" i="3" l="1"/>
  <c r="F685" i="3"/>
  <c r="G685" i="3" s="1"/>
  <c r="E688" i="3"/>
  <c r="D688" i="3" l="1"/>
  <c r="F686" i="3"/>
  <c r="G686" i="3" s="1"/>
  <c r="E689" i="3"/>
  <c r="D689" i="3" l="1"/>
  <c r="F687" i="3"/>
  <c r="G687" i="3" s="1"/>
  <c r="E690" i="3"/>
  <c r="D690" i="3" l="1"/>
  <c r="F688" i="3"/>
  <c r="G688" i="3" s="1"/>
  <c r="E691" i="3"/>
  <c r="D691" i="3" l="1"/>
  <c r="F689" i="3"/>
  <c r="G689" i="3" s="1"/>
  <c r="E692" i="3"/>
  <c r="D692" i="3" l="1"/>
  <c r="F690" i="3"/>
  <c r="G690" i="3" s="1"/>
  <c r="E693" i="3"/>
  <c r="D693" i="3" l="1"/>
  <c r="F691" i="3"/>
  <c r="G691" i="3" s="1"/>
  <c r="E694" i="3"/>
  <c r="D694" i="3" l="1"/>
  <c r="F692" i="3"/>
  <c r="G692" i="3" s="1"/>
  <c r="E695" i="3"/>
  <c r="D695" i="3" l="1"/>
  <c r="F693" i="3"/>
  <c r="G693" i="3" s="1"/>
  <c r="E696" i="3"/>
  <c r="D696" i="3" l="1"/>
  <c r="F694" i="3"/>
  <c r="G694" i="3" s="1"/>
  <c r="E697" i="3"/>
  <c r="D697" i="3" l="1"/>
  <c r="F695" i="3"/>
  <c r="G695" i="3" s="1"/>
  <c r="D698" i="3" l="1"/>
  <c r="F696" i="3"/>
  <c r="G696" i="3" s="1"/>
  <c r="F697" i="3"/>
  <c r="G697" i="3" s="1"/>
  <c r="E698" i="3"/>
  <c r="E699" i="3"/>
  <c r="D699" i="3" l="1"/>
  <c r="D700" i="3" l="1"/>
  <c r="G699" i="3"/>
  <c r="F698" i="3"/>
  <c r="G698" i="3" s="1"/>
  <c r="E700" i="3"/>
  <c r="F699" i="3"/>
  <c r="D701" i="3" l="1"/>
  <c r="E701" i="3"/>
  <c r="E702" i="3" l="1"/>
  <c r="F700" i="3"/>
  <c r="G700" i="3" s="1"/>
  <c r="D702" i="3"/>
  <c r="F701" i="3" s="1"/>
  <c r="G701" i="3"/>
  <c r="D703" i="3" l="1"/>
  <c r="E703" i="3"/>
  <c r="E704" i="3"/>
  <c r="D704" i="3" l="1"/>
  <c r="F702" i="3"/>
  <c r="G702" i="3" s="1"/>
  <c r="E705" i="3"/>
  <c r="D705" i="3" l="1"/>
  <c r="F703" i="3"/>
  <c r="G703" i="3" s="1"/>
  <c r="E706" i="3"/>
  <c r="D706" i="3" l="1"/>
  <c r="F704" i="3"/>
  <c r="G704" i="3" s="1"/>
  <c r="E707" i="3"/>
  <c r="D707" i="3" l="1"/>
  <c r="F705" i="3"/>
  <c r="G705" i="3" s="1"/>
  <c r="D708" i="3" l="1"/>
  <c r="G707" i="3"/>
  <c r="F706" i="3"/>
  <c r="G706" i="3" s="1"/>
  <c r="E708" i="3"/>
  <c r="F707" i="3"/>
  <c r="D709" i="3" l="1"/>
  <c r="E709" i="3"/>
  <c r="E710" i="3"/>
  <c r="D710" i="3" l="1"/>
  <c r="G709" i="3"/>
  <c r="F708" i="3"/>
  <c r="G708" i="3" s="1"/>
  <c r="F709" i="3"/>
  <c r="E711" i="3"/>
  <c r="D711" i="3" l="1"/>
  <c r="D712" i="3" l="1"/>
  <c r="G711" i="3"/>
  <c r="E712" i="3"/>
  <c r="F710" i="3"/>
  <c r="G710" i="3" s="1"/>
  <c r="F711" i="3"/>
  <c r="E713" i="3"/>
  <c r="D713" i="3" l="1"/>
  <c r="F712" i="3" l="1"/>
  <c r="G712" i="3" s="1"/>
  <c r="D714" i="3"/>
  <c r="F713" i="3" s="1"/>
  <c r="G713" i="3" s="1"/>
  <c r="E714" i="3"/>
  <c r="E715" i="3" l="1"/>
  <c r="D715" i="3"/>
  <c r="D716" i="3" l="1"/>
  <c r="F715" i="3" s="1"/>
  <c r="G715" i="3"/>
  <c r="F714" i="3"/>
  <c r="G714" i="3" s="1"/>
  <c r="E716" i="3"/>
  <c r="D717" i="3" l="1"/>
  <c r="E717" i="3"/>
  <c r="D718" i="3" l="1"/>
  <c r="G717" i="3"/>
  <c r="E718" i="3"/>
  <c r="F717" i="3"/>
  <c r="F716" i="3"/>
  <c r="G716" i="3" s="1"/>
  <c r="D719" i="3" l="1"/>
  <c r="E719" i="3"/>
  <c r="E720" i="3"/>
  <c r="D720" i="3" l="1"/>
  <c r="F719" i="3" s="1"/>
  <c r="G719" i="3"/>
  <c r="F718" i="3"/>
  <c r="G718" i="3" s="1"/>
  <c r="D721" i="3" l="1"/>
  <c r="E721" i="3"/>
  <c r="D722" i="3" l="1"/>
  <c r="E722" i="3"/>
  <c r="F720" i="3"/>
  <c r="G720" i="3" s="1"/>
  <c r="D723" i="3" l="1"/>
  <c r="G722" i="3"/>
  <c r="F721" i="3"/>
  <c r="G721" i="3" s="1"/>
  <c r="E723" i="3"/>
  <c r="F722" i="3"/>
  <c r="D724" i="3" l="1"/>
  <c r="G723" i="3"/>
  <c r="E724" i="3"/>
  <c r="F723" i="3"/>
  <c r="E725" i="3"/>
  <c r="D725" i="3" l="1"/>
  <c r="D726" i="3" l="1"/>
  <c r="G725" i="3"/>
  <c r="E726" i="3"/>
  <c r="F724" i="3"/>
  <c r="G724" i="3" s="1"/>
  <c r="F725" i="3"/>
  <c r="E727" i="3"/>
  <c r="D727" i="3" l="1"/>
  <c r="E728" i="3"/>
  <c r="D728" i="3" l="1"/>
  <c r="F726" i="3"/>
  <c r="G726" i="3" s="1"/>
  <c r="E729" i="3"/>
  <c r="D729" i="3" l="1"/>
  <c r="F727" i="3"/>
  <c r="G727" i="3" s="1"/>
  <c r="D730" i="3" l="1"/>
  <c r="G729" i="3"/>
  <c r="F728" i="3"/>
  <c r="G728" i="3" s="1"/>
  <c r="F729" i="3"/>
  <c r="E730" i="3"/>
  <c r="E731" i="3"/>
  <c r="D731" i="3" l="1"/>
  <c r="D732" i="3" l="1"/>
  <c r="F731" i="3" s="1"/>
  <c r="G731" i="3"/>
  <c r="F730" i="3"/>
  <c r="G730" i="3" s="1"/>
  <c r="E732" i="3"/>
  <c r="E733" i="3"/>
  <c r="D733" i="3" l="1"/>
  <c r="D734" i="3" l="1"/>
  <c r="G733" i="3"/>
  <c r="F732" i="3"/>
  <c r="G732" i="3" s="1"/>
  <c r="E734" i="3"/>
  <c r="F733" i="3"/>
  <c r="E735" i="3"/>
  <c r="D735" i="3" l="1"/>
  <c r="E736" i="3" s="1"/>
  <c r="D736" i="3" l="1"/>
  <c r="E737" i="3" s="1"/>
  <c r="F734" i="3"/>
  <c r="G734" i="3" s="1"/>
  <c r="D737" i="3" l="1"/>
  <c r="F735" i="3"/>
  <c r="G735" i="3" s="1"/>
  <c r="D738" i="3" l="1"/>
  <c r="F737" i="3" s="1"/>
  <c r="G737" i="3"/>
  <c r="F736" i="3"/>
  <c r="G736" i="3" s="1"/>
  <c r="E738" i="3"/>
  <c r="D739" i="3" l="1"/>
  <c r="E739" i="3"/>
  <c r="D740" i="3" l="1"/>
  <c r="E740" i="3"/>
  <c r="F738" i="3"/>
  <c r="G738" i="3" s="1"/>
  <c r="F739" i="3" l="1"/>
  <c r="G739" i="3" s="1"/>
  <c r="E741" i="3"/>
  <c r="D741" i="3"/>
  <c r="D742" i="3" l="1"/>
  <c r="E743" i="3" s="1"/>
  <c r="F740" i="3"/>
  <c r="G740" i="3" s="1"/>
  <c r="E742" i="3"/>
  <c r="D743" i="3" l="1"/>
  <c r="F741" i="3"/>
  <c r="G741" i="3" s="1"/>
  <c r="E744" i="3"/>
  <c r="D744" i="3" l="1"/>
  <c r="E745" i="3" s="1"/>
  <c r="F742" i="3"/>
  <c r="G742" i="3" s="1"/>
  <c r="D745" i="3" l="1"/>
  <c r="F743" i="3"/>
  <c r="G743" i="3" s="1"/>
  <c r="E746" i="3"/>
  <c r="D746" i="3" l="1"/>
  <c r="E747" i="3" s="1"/>
  <c r="F744" i="3"/>
  <c r="G744" i="3" s="1"/>
  <c r="F745" i="3" l="1"/>
  <c r="G745" i="3" s="1"/>
  <c r="D747" i="3"/>
  <c r="F746" i="3" s="1"/>
  <c r="G746" i="3"/>
  <c r="D748" i="3" l="1"/>
  <c r="G747" i="3"/>
  <c r="E748" i="3"/>
  <c r="F747" i="3"/>
  <c r="E749" i="3"/>
  <c r="D749" i="3" l="1"/>
  <c r="E750" i="3"/>
  <c r="D750" i="3" l="1"/>
  <c r="F748" i="3"/>
  <c r="G748" i="3" s="1"/>
  <c r="E751" i="3" l="1"/>
  <c r="D751" i="3"/>
  <c r="F750" i="3" s="1"/>
  <c r="G750" i="3" s="1"/>
  <c r="F749" i="3"/>
  <c r="G749" i="3" s="1"/>
  <c r="E752" i="3" l="1"/>
  <c r="D752" i="3"/>
  <c r="D753" i="3" l="1"/>
  <c r="G752" i="3"/>
  <c r="F751" i="3"/>
  <c r="G751" i="3" s="1"/>
  <c r="E753" i="3"/>
  <c r="F752" i="3"/>
  <c r="E754" i="3"/>
  <c r="D754" i="3" l="1"/>
  <c r="D755" i="3" l="1"/>
  <c r="G754" i="3"/>
  <c r="F753" i="3"/>
  <c r="G753" i="3" s="1"/>
  <c r="E755" i="3"/>
  <c r="F754" i="3"/>
  <c r="D756" i="3" l="1"/>
  <c r="E756" i="3"/>
  <c r="F755" i="3" l="1"/>
  <c r="G755" i="3" s="1"/>
  <c r="E757" i="3"/>
  <c r="D757" i="3"/>
  <c r="D758" i="3" l="1"/>
  <c r="E758" i="3"/>
  <c r="F756" i="3"/>
  <c r="G756" i="3" s="1"/>
  <c r="E759" i="3"/>
  <c r="D759" i="3" l="1"/>
  <c r="F757" i="3"/>
  <c r="G757" i="3" s="1"/>
  <c r="D760" i="3" l="1"/>
  <c r="G759" i="3"/>
  <c r="F758" i="3"/>
  <c r="G758" i="3" s="1"/>
  <c r="E760" i="3"/>
  <c r="F759" i="3"/>
  <c r="E761" i="3"/>
  <c r="D761" i="3" l="1"/>
  <c r="E762" i="3" l="1"/>
  <c r="F760" i="3"/>
  <c r="G760" i="3" s="1"/>
  <c r="D762" i="3"/>
  <c r="D763" i="3" l="1"/>
  <c r="E763" i="3"/>
  <c r="F761" i="3"/>
  <c r="G761" i="3" s="1"/>
  <c r="E764" i="3"/>
  <c r="D764" i="3" l="1"/>
  <c r="F762" i="3"/>
  <c r="G762" i="3" s="1"/>
  <c r="E765" i="3"/>
  <c r="D765" i="3" l="1"/>
  <c r="F763" i="3"/>
  <c r="G763" i="3" s="1"/>
  <c r="E766" i="3"/>
  <c r="D766" i="3" l="1"/>
  <c r="F764" i="3"/>
  <c r="G764" i="3" s="1"/>
  <c r="E767" i="3"/>
  <c r="D767" i="3" l="1"/>
  <c r="E768" i="3" s="1"/>
  <c r="F765" i="3"/>
  <c r="G765" i="3" s="1"/>
  <c r="D768" i="3" l="1"/>
  <c r="F766" i="3"/>
  <c r="G766" i="3" s="1"/>
  <c r="E769" i="3" l="1"/>
  <c r="F767" i="3"/>
  <c r="G767" i="3" s="1"/>
  <c r="D769" i="3"/>
  <c r="F768" i="3" s="1"/>
  <c r="G768" i="3" s="1"/>
  <c r="D770" i="3" l="1"/>
  <c r="E770" i="3"/>
  <c r="D771" i="3" l="1"/>
  <c r="G770" i="3"/>
  <c r="F769" i="3"/>
  <c r="G769" i="3" s="1"/>
  <c r="E771" i="3"/>
  <c r="F770" i="3"/>
  <c r="E772" i="3"/>
  <c r="D772" i="3" l="1"/>
  <c r="E773" i="3" s="1"/>
  <c r="D773" i="3" l="1"/>
  <c r="G772" i="3"/>
  <c r="F771" i="3"/>
  <c r="G771" i="3" s="1"/>
  <c r="F772" i="3"/>
  <c r="E774" i="3"/>
  <c r="D774" i="3" l="1"/>
  <c r="E775" i="3" s="1"/>
  <c r="D775" i="3" l="1"/>
  <c r="F773" i="3"/>
  <c r="G773" i="3" s="1"/>
  <c r="E776" i="3"/>
  <c r="D776" i="3" l="1"/>
  <c r="F774" i="3"/>
  <c r="G774" i="3" s="1"/>
  <c r="F775" i="3"/>
  <c r="G775" i="3" s="1"/>
  <c r="E777" i="3"/>
  <c r="D777" i="3" l="1"/>
  <c r="E778" i="3" l="1"/>
  <c r="F776" i="3"/>
  <c r="G776" i="3" s="1"/>
  <c r="D778" i="3"/>
  <c r="F777" i="3" s="1"/>
  <c r="G777" i="3"/>
  <c r="D779" i="3" l="1"/>
  <c r="E779" i="3"/>
  <c r="E780" i="3"/>
  <c r="D780" i="3" l="1"/>
  <c r="F778" i="3"/>
  <c r="G778" i="3" s="1"/>
  <c r="E781" i="3"/>
  <c r="D781" i="3" l="1"/>
  <c r="E782" i="3" s="1"/>
  <c r="F779" i="3"/>
  <c r="G779" i="3" s="1"/>
  <c r="D782" i="3" l="1"/>
  <c r="E783" i="3" s="1"/>
  <c r="F780" i="3"/>
  <c r="G780" i="3" s="1"/>
  <c r="D783" i="3" l="1"/>
  <c r="F781" i="3"/>
  <c r="G781" i="3" s="1"/>
  <c r="E784" i="3"/>
  <c r="D784" i="3" l="1"/>
  <c r="F782" i="3"/>
  <c r="G782" i="3" s="1"/>
  <c r="E785" i="3"/>
  <c r="D785" i="3" l="1"/>
  <c r="F783" i="3"/>
  <c r="G783" i="3" s="1"/>
  <c r="E786" i="3"/>
  <c r="D786" i="3" l="1"/>
  <c r="F784" i="3"/>
  <c r="G784" i="3" s="1"/>
  <c r="E787" i="3"/>
  <c r="D787" i="3" l="1"/>
  <c r="F785" i="3"/>
  <c r="G785" i="3" s="1"/>
  <c r="E788" i="3"/>
  <c r="D788" i="3" l="1"/>
  <c r="F786" i="3"/>
  <c r="G786" i="3" s="1"/>
  <c r="D789" i="3" l="1"/>
  <c r="E790" i="3" s="1"/>
  <c r="E789" i="3"/>
  <c r="F787" i="3"/>
  <c r="G787" i="3" s="1"/>
  <c r="D790" i="3" l="1"/>
  <c r="F788" i="3"/>
  <c r="G788" i="3" s="1"/>
  <c r="D791" i="3" l="1"/>
  <c r="E791" i="3"/>
  <c r="F789" i="3"/>
  <c r="G789" i="3" s="1"/>
  <c r="E792" i="3"/>
  <c r="D792" i="3" l="1"/>
  <c r="F790" i="3"/>
  <c r="G790" i="3" s="1"/>
  <c r="E793" i="3"/>
  <c r="D793" i="3" l="1"/>
  <c r="F791" i="3"/>
  <c r="G791" i="3" s="1"/>
  <c r="E794" i="3"/>
  <c r="D794" i="3" l="1"/>
  <c r="F792" i="3"/>
  <c r="G792" i="3" s="1"/>
  <c r="E795" i="3"/>
  <c r="D795" i="3" l="1"/>
  <c r="F793" i="3"/>
  <c r="G793" i="3" s="1"/>
  <c r="E796" i="3"/>
  <c r="D796" i="3" l="1"/>
  <c r="F794" i="3"/>
  <c r="G794" i="3" s="1"/>
  <c r="E797" i="3"/>
  <c r="D797" i="3" l="1"/>
  <c r="F795" i="3"/>
  <c r="G795" i="3" s="1"/>
  <c r="E798" i="3"/>
  <c r="D798" i="3" l="1"/>
  <c r="F796" i="3"/>
  <c r="G796" i="3" s="1"/>
  <c r="E799" i="3" l="1"/>
  <c r="D799" i="3"/>
  <c r="F797" i="3"/>
  <c r="G797" i="3" s="1"/>
  <c r="D800" i="3" l="1"/>
  <c r="G799" i="3"/>
  <c r="E800" i="3"/>
  <c r="F799" i="3"/>
  <c r="F798" i="3"/>
  <c r="G798" i="3" s="1"/>
  <c r="E801" i="3"/>
  <c r="D801" i="3" l="1"/>
  <c r="E802" i="3"/>
  <c r="D802" i="3" l="1"/>
  <c r="F800" i="3"/>
  <c r="G800" i="3" s="1"/>
  <c r="E803" i="3"/>
  <c r="D803" i="3" l="1"/>
  <c r="F801" i="3"/>
  <c r="G801" i="3" s="1"/>
  <c r="E804" i="3"/>
  <c r="D804" i="3" l="1"/>
  <c r="F802" i="3"/>
  <c r="G802" i="3" s="1"/>
  <c r="E805" i="3"/>
  <c r="D805" i="3" l="1"/>
  <c r="F803" i="3"/>
  <c r="G803" i="3" s="1"/>
  <c r="E806" i="3"/>
  <c r="D806" i="3" l="1"/>
  <c r="F804" i="3"/>
  <c r="G804" i="3" s="1"/>
  <c r="D807" i="3" l="1"/>
  <c r="E808" i="3" s="1"/>
  <c r="E807" i="3"/>
  <c r="F805" i="3"/>
  <c r="G805" i="3" s="1"/>
  <c r="D808" i="3" l="1"/>
  <c r="F806" i="3"/>
  <c r="G806" i="3" s="1"/>
  <c r="D809" i="3" l="1"/>
  <c r="E809" i="3"/>
  <c r="F807" i="3"/>
  <c r="G807" i="3" s="1"/>
  <c r="E810" i="3"/>
  <c r="D810" i="3" l="1"/>
  <c r="F808" i="3"/>
  <c r="G808" i="3" s="1"/>
  <c r="E811" i="3"/>
  <c r="D811" i="3" l="1"/>
  <c r="F809" i="3"/>
  <c r="G809" i="3" s="1"/>
  <c r="E812" i="3"/>
  <c r="D812" i="3" l="1"/>
  <c r="F810" i="3"/>
  <c r="G810" i="3" s="1"/>
  <c r="E813" i="3"/>
  <c r="D813" i="3" l="1"/>
  <c r="F811" i="3"/>
  <c r="G811" i="3" s="1"/>
  <c r="E814" i="3"/>
  <c r="D814" i="3" l="1"/>
  <c r="F812" i="3"/>
  <c r="G812" i="3" s="1"/>
  <c r="E815" i="3"/>
  <c r="D815" i="3" l="1"/>
  <c r="F813" i="3"/>
  <c r="G813" i="3" s="1"/>
  <c r="E816" i="3"/>
  <c r="D816" i="3" l="1"/>
  <c r="F814" i="3"/>
  <c r="G814" i="3" s="1"/>
  <c r="E817" i="3"/>
  <c r="D817" i="3" l="1"/>
  <c r="F815" i="3"/>
  <c r="G815" i="3" s="1"/>
  <c r="E818" i="3"/>
  <c r="D818" i="3" l="1"/>
  <c r="F816" i="3"/>
  <c r="G816" i="3" s="1"/>
  <c r="E819" i="3"/>
  <c r="D819" i="3" l="1"/>
  <c r="E820" i="3" s="1"/>
  <c r="F817" i="3"/>
  <c r="G817" i="3" s="1"/>
  <c r="D820" i="3" l="1"/>
  <c r="F818" i="3"/>
  <c r="G818" i="3" s="1"/>
  <c r="E821" i="3"/>
  <c r="D821" i="3" l="1"/>
  <c r="F819" i="3"/>
  <c r="G819" i="3" s="1"/>
  <c r="E822" i="3"/>
  <c r="D822" i="3" l="1"/>
  <c r="F820" i="3"/>
  <c r="G820" i="3" s="1"/>
  <c r="E823" i="3"/>
  <c r="D823" i="3" l="1"/>
  <c r="F821" i="3"/>
  <c r="G821" i="3" s="1"/>
  <c r="D824" i="3" l="1"/>
  <c r="G823" i="3"/>
  <c r="F822" i="3"/>
  <c r="G822" i="3" s="1"/>
  <c r="E824" i="3"/>
  <c r="F823" i="3"/>
  <c r="E825" i="3"/>
  <c r="D825" i="3" l="1"/>
  <c r="E826" i="3"/>
  <c r="D826" i="3" l="1"/>
  <c r="F824" i="3"/>
  <c r="G824" i="3" s="1"/>
  <c r="E827" i="3"/>
  <c r="D827" i="3" l="1"/>
  <c r="F825" i="3"/>
  <c r="G825" i="3" s="1"/>
  <c r="D828" i="3" l="1"/>
  <c r="F826" i="3"/>
  <c r="G826" i="3" s="1"/>
  <c r="E828" i="3"/>
  <c r="D829" i="3" l="1"/>
  <c r="E829" i="3"/>
  <c r="F827" i="3"/>
  <c r="G827" i="3" s="1"/>
  <c r="D830" i="3" l="1"/>
  <c r="F828" i="3"/>
  <c r="G828" i="3" s="1"/>
  <c r="E830" i="3"/>
  <c r="F829" i="3" l="1"/>
  <c r="G829" i="3" s="1"/>
  <c r="E831" i="3"/>
  <c r="D831" i="3"/>
  <c r="D832" i="3" l="1"/>
  <c r="E832" i="3"/>
  <c r="F830" i="3"/>
  <c r="G830" i="3" s="1"/>
  <c r="E833" i="3"/>
  <c r="D833" i="3" l="1"/>
  <c r="F831" i="3"/>
  <c r="G831" i="3" s="1"/>
  <c r="E834" i="3"/>
  <c r="D834" i="3" l="1"/>
  <c r="F832" i="3"/>
  <c r="G832" i="3" s="1"/>
  <c r="D835" i="3" l="1"/>
  <c r="F833" i="3"/>
  <c r="G833" i="3" s="1"/>
  <c r="E835" i="3"/>
  <c r="E836" i="3"/>
  <c r="D836" i="3" l="1"/>
  <c r="F834" i="3"/>
  <c r="G834" i="3" s="1"/>
  <c r="E837" i="3"/>
  <c r="D837" i="3" l="1"/>
  <c r="F835" i="3"/>
  <c r="G835" i="3" s="1"/>
  <c r="E838" i="3"/>
  <c r="D838" i="3" l="1"/>
  <c r="F836" i="3"/>
  <c r="G836" i="3" s="1"/>
  <c r="E839" i="3"/>
  <c r="D839" i="3" l="1"/>
  <c r="E840" i="3" s="1"/>
  <c r="F837" i="3"/>
  <c r="G837" i="3" s="1"/>
  <c r="D840" i="3" l="1"/>
  <c r="G839" i="3"/>
  <c r="F838" i="3"/>
  <c r="G838" i="3" s="1"/>
  <c r="F839" i="3"/>
  <c r="E841" i="3"/>
  <c r="D841" i="3" l="1"/>
  <c r="D842" i="3" l="1"/>
  <c r="G841" i="3"/>
  <c r="E842" i="3"/>
  <c r="F840" i="3"/>
  <c r="G840" i="3" s="1"/>
  <c r="F841" i="3"/>
  <c r="D843" i="3" l="1"/>
  <c r="G842" i="3"/>
  <c r="E843" i="3"/>
  <c r="F842" i="3"/>
  <c r="E844" i="3"/>
  <c r="D844" i="3" l="1"/>
  <c r="E845" i="3"/>
  <c r="D845" i="3" l="1"/>
  <c r="F843" i="3"/>
  <c r="G843" i="3" s="1"/>
  <c r="E846" i="3"/>
  <c r="D846" i="3" l="1"/>
  <c r="F844" i="3"/>
  <c r="G844" i="3" s="1"/>
  <c r="D847" i="3" l="1"/>
  <c r="E847" i="3"/>
  <c r="F845" i="3"/>
  <c r="G845" i="3" s="1"/>
  <c r="E848" i="3"/>
  <c r="D848" i="3" l="1"/>
  <c r="F846" i="3"/>
  <c r="G846" i="3" s="1"/>
  <c r="D849" i="3" l="1"/>
  <c r="E849" i="3"/>
  <c r="F847" i="3"/>
  <c r="G847" i="3" s="1"/>
  <c r="E850" i="3"/>
  <c r="D850" i="3" l="1"/>
  <c r="F848" i="3"/>
  <c r="G848" i="3" s="1"/>
  <c r="D851" i="3" l="1"/>
  <c r="E851" i="3"/>
  <c r="F849" i="3"/>
  <c r="G849" i="3" s="1"/>
  <c r="E852" i="3"/>
  <c r="D852" i="3" l="1"/>
  <c r="F850" i="3"/>
  <c r="G850" i="3" s="1"/>
  <c r="E853" i="3"/>
  <c r="D853" i="3" l="1"/>
  <c r="F851" i="3"/>
  <c r="G851" i="3" s="1"/>
  <c r="D854" i="3" l="1"/>
  <c r="G853" i="3"/>
  <c r="F852" i="3"/>
  <c r="G852" i="3" s="1"/>
  <c r="F853" i="3"/>
  <c r="E854" i="3"/>
  <c r="D855" i="3" l="1"/>
  <c r="E855" i="3"/>
  <c r="E856" i="3"/>
  <c r="D856" i="3" l="1"/>
  <c r="G855" i="3"/>
  <c r="F854" i="3"/>
  <c r="G854" i="3" s="1"/>
  <c r="F855" i="3"/>
  <c r="E857" i="3"/>
  <c r="D857" i="3" l="1"/>
  <c r="E858" i="3"/>
  <c r="D858" i="3" l="1"/>
  <c r="F856" i="3"/>
  <c r="G856" i="3" s="1"/>
  <c r="E859" i="3"/>
  <c r="D859" i="3" l="1"/>
  <c r="F857" i="3"/>
  <c r="G857" i="3" s="1"/>
  <c r="E860" i="3"/>
  <c r="D860" i="3" l="1"/>
  <c r="F858" i="3"/>
  <c r="G858" i="3" s="1"/>
  <c r="D861" i="3" l="1"/>
  <c r="G860" i="3"/>
  <c r="F859" i="3"/>
  <c r="G859" i="3" s="1"/>
  <c r="E861" i="3"/>
  <c r="F860" i="3"/>
  <c r="E862" i="3"/>
  <c r="D862" i="3" l="1"/>
  <c r="E863" i="3"/>
  <c r="D863" i="3" l="1"/>
  <c r="E864" i="3" s="1"/>
  <c r="F861" i="3"/>
  <c r="G861" i="3" s="1"/>
  <c r="D864" i="3" l="1"/>
  <c r="F862" i="3"/>
  <c r="G862" i="3" s="1"/>
  <c r="E865" i="3"/>
  <c r="D865" i="3" l="1"/>
  <c r="F863" i="3"/>
  <c r="G863" i="3" s="1"/>
  <c r="E866" i="3"/>
  <c r="D866" i="3" l="1"/>
  <c r="F864" i="3"/>
  <c r="G864" i="3" s="1"/>
  <c r="E867" i="3"/>
  <c r="D867" i="3" l="1"/>
  <c r="F865" i="3"/>
  <c r="G865" i="3" s="1"/>
  <c r="D868" i="3" l="1"/>
  <c r="F866" i="3"/>
  <c r="G866" i="3" s="1"/>
  <c r="E868" i="3"/>
  <c r="D869" i="3" l="1"/>
  <c r="G868" i="3"/>
  <c r="F867" i="3"/>
  <c r="G867" i="3" s="1"/>
  <c r="E869" i="3"/>
  <c r="F868" i="3"/>
  <c r="E870" i="3"/>
  <c r="D870" i="3" l="1"/>
  <c r="D871" i="3" l="1"/>
  <c r="G870" i="3"/>
  <c r="E871" i="3"/>
  <c r="F869" i="3"/>
  <c r="G869" i="3" s="1"/>
  <c r="F870" i="3"/>
  <c r="D872" i="3" l="1"/>
  <c r="E872" i="3"/>
  <c r="F871" i="3"/>
  <c r="G871" i="3" s="1"/>
  <c r="E873" i="3"/>
  <c r="D873" i="3" l="1"/>
  <c r="D874" i="3" l="1"/>
  <c r="G873" i="3"/>
  <c r="E874" i="3"/>
  <c r="F872" i="3"/>
  <c r="G872" i="3" s="1"/>
  <c r="F873" i="3"/>
  <c r="D875" i="3" l="1"/>
  <c r="F874" i="3" s="1"/>
  <c r="G874" i="3"/>
  <c r="E875" i="3"/>
  <c r="E876" i="3"/>
  <c r="D876" i="3" l="1"/>
  <c r="D877" i="3" l="1"/>
  <c r="G876" i="3"/>
  <c r="E877" i="3"/>
  <c r="F875" i="3"/>
  <c r="G875" i="3" s="1"/>
  <c r="F876" i="3"/>
  <c r="E878" i="3" l="1"/>
  <c r="D878" i="3"/>
  <c r="F877" i="3" s="1"/>
  <c r="G877" i="3" s="1"/>
  <c r="E879" i="3" l="1"/>
  <c r="D879" i="3"/>
  <c r="E880" i="3" s="1"/>
  <c r="D880" i="3" l="1"/>
  <c r="F878" i="3"/>
  <c r="G878" i="3" s="1"/>
  <c r="E881" i="3" l="1"/>
  <c r="F879" i="3"/>
  <c r="G879" i="3" s="1"/>
  <c r="D881" i="3"/>
  <c r="F880" i="3" s="1"/>
  <c r="G880" i="3"/>
  <c r="D882" i="3" l="1"/>
  <c r="E882" i="3"/>
  <c r="E883" i="3"/>
  <c r="D883" i="3" l="1"/>
  <c r="F881" i="3"/>
  <c r="G881" i="3" s="1"/>
  <c r="E884" i="3"/>
  <c r="D884" i="3" l="1"/>
  <c r="F882" i="3"/>
  <c r="G882" i="3" s="1"/>
  <c r="E885" i="3"/>
  <c r="D885" i="3" l="1"/>
  <c r="F883" i="3"/>
  <c r="G883" i="3" s="1"/>
  <c r="E886" i="3"/>
  <c r="D886" i="3" l="1"/>
  <c r="E887" i="3" s="1"/>
  <c r="F884" i="3"/>
  <c r="G884" i="3" s="1"/>
  <c r="F885" i="3" l="1"/>
  <c r="G885" i="3" s="1"/>
  <c r="D887" i="3"/>
  <c r="D888" i="3" l="1"/>
  <c r="F887" i="3" s="1"/>
  <c r="G887" i="3"/>
  <c r="E888" i="3"/>
  <c r="F886" i="3"/>
  <c r="G886" i="3" s="1"/>
  <c r="E889" i="3"/>
  <c r="D889" i="3" l="1"/>
  <c r="D890" i="3" l="1"/>
  <c r="G889" i="3"/>
  <c r="F888" i="3"/>
  <c r="G888" i="3" s="1"/>
  <c r="E890" i="3"/>
  <c r="F889" i="3"/>
  <c r="E891" i="3" l="1"/>
  <c r="D891" i="3"/>
  <c r="F890" i="3" s="1"/>
  <c r="G890" i="3" s="1"/>
  <c r="E892" i="3" l="1"/>
  <c r="D892" i="3"/>
  <c r="E893" i="3"/>
  <c r="D893" i="3" l="1"/>
  <c r="E894" i="3" s="1"/>
  <c r="F891" i="3"/>
  <c r="G891" i="3" s="1"/>
  <c r="D894" i="3" l="1"/>
  <c r="F892" i="3"/>
  <c r="G892" i="3" s="1"/>
  <c r="E895" i="3"/>
  <c r="D895" i="3" l="1"/>
  <c r="F893" i="3"/>
  <c r="G893" i="3" s="1"/>
  <c r="F894" i="3"/>
  <c r="G894" i="3" s="1"/>
  <c r="E896" i="3"/>
  <c r="D896" i="3" l="1"/>
  <c r="D897" i="3" l="1"/>
  <c r="E897" i="3"/>
  <c r="F895" i="3"/>
  <c r="G895" i="3" s="1"/>
  <c r="E898" i="3"/>
  <c r="D898" i="3" l="1"/>
  <c r="F896" i="3"/>
  <c r="G896" i="3" s="1"/>
  <c r="D899" i="3" l="1"/>
  <c r="F897" i="3"/>
  <c r="G897" i="3" s="1"/>
  <c r="E899" i="3"/>
  <c r="D900" i="3" l="1"/>
  <c r="G899" i="3"/>
  <c r="F898" i="3"/>
  <c r="G898" i="3" s="1"/>
  <c r="E900" i="3"/>
  <c r="F899" i="3"/>
  <c r="D901" i="3" l="1"/>
  <c r="E901" i="3"/>
  <c r="E902" i="3"/>
  <c r="D902" i="3" l="1"/>
  <c r="F900" i="3"/>
  <c r="G900" i="3" s="1"/>
  <c r="D903" i="3" l="1"/>
  <c r="G902" i="3"/>
  <c r="E903" i="3"/>
  <c r="F902" i="3"/>
  <c r="F901" i="3"/>
  <c r="G901" i="3" s="1"/>
  <c r="E904" i="3"/>
  <c r="D904" i="3" l="1"/>
  <c r="E905" i="3"/>
  <c r="D905" i="3" l="1"/>
  <c r="E906" i="3" s="1"/>
  <c r="F903" i="3"/>
  <c r="G903" i="3" s="1"/>
  <c r="D906" i="3" l="1"/>
  <c r="F904" i="3"/>
  <c r="G904" i="3" s="1"/>
  <c r="E907" i="3"/>
  <c r="D907" i="3" l="1"/>
  <c r="F905" i="3"/>
  <c r="G905" i="3" s="1"/>
  <c r="E908" i="3"/>
  <c r="D908" i="3" l="1"/>
  <c r="F906" i="3"/>
  <c r="G906" i="3" s="1"/>
  <c r="E909" i="3" l="1"/>
  <c r="D909" i="3"/>
  <c r="E910" i="3" s="1"/>
  <c r="F907" i="3"/>
  <c r="G907" i="3" s="1"/>
  <c r="D910" i="3" l="1"/>
  <c r="F908" i="3"/>
  <c r="G908" i="3" s="1"/>
  <c r="E911" i="3"/>
  <c r="D911" i="3" l="1"/>
  <c r="F909" i="3"/>
  <c r="G909" i="3" s="1"/>
  <c r="E912" i="3"/>
  <c r="D912" i="3" l="1"/>
  <c r="F910" i="3"/>
  <c r="G910" i="3" s="1"/>
  <c r="D913" i="3" l="1"/>
  <c r="G912" i="3"/>
  <c r="F911" i="3"/>
  <c r="G911" i="3" s="1"/>
  <c r="E913" i="3"/>
  <c r="F912" i="3"/>
  <c r="E914" i="3" l="1"/>
  <c r="D914" i="3"/>
  <c r="D915" i="3" l="1"/>
  <c r="G914" i="3"/>
  <c r="E915" i="3"/>
  <c r="F914" i="3"/>
  <c r="F913" i="3"/>
  <c r="G913" i="3" s="1"/>
  <c r="E916" i="3"/>
  <c r="D916" i="3" l="1"/>
  <c r="E917" i="3" l="1"/>
  <c r="D917" i="3"/>
  <c r="F915" i="3"/>
  <c r="G915" i="3" s="1"/>
  <c r="D918" i="3" l="1"/>
  <c r="G917" i="3"/>
  <c r="E918" i="3"/>
  <c r="F917" i="3"/>
  <c r="F916" i="3"/>
  <c r="G916" i="3" s="1"/>
  <c r="E919" i="3"/>
  <c r="D919" i="3" l="1"/>
  <c r="D920" i="3" l="1"/>
  <c r="G919" i="3"/>
  <c r="F918" i="3"/>
  <c r="G918" i="3" s="1"/>
  <c r="E920" i="3"/>
  <c r="F919" i="3"/>
  <c r="E921" i="3"/>
  <c r="D921" i="3" l="1"/>
  <c r="D922" i="3" l="1"/>
  <c r="E922" i="3"/>
  <c r="F920" i="3"/>
  <c r="G920" i="3" s="1"/>
  <c r="E923" i="3"/>
  <c r="D923" i="3" l="1"/>
  <c r="F921" i="3"/>
  <c r="G921" i="3" s="1"/>
  <c r="D924" i="3" l="1"/>
  <c r="E925" i="3" s="1"/>
  <c r="E924" i="3"/>
  <c r="F922" i="3"/>
  <c r="G922" i="3" s="1"/>
  <c r="D925" i="3" l="1"/>
  <c r="F923" i="3"/>
  <c r="G923" i="3" s="1"/>
  <c r="D926" i="3" l="1"/>
  <c r="F925" i="3" s="1"/>
  <c r="G925" i="3"/>
  <c r="F924" i="3"/>
  <c r="G924" i="3" s="1"/>
  <c r="E926" i="3"/>
  <c r="D927" i="3" l="1"/>
  <c r="G926" i="3"/>
  <c r="E927" i="3"/>
  <c r="F926" i="3"/>
  <c r="D928" i="3" l="1"/>
  <c r="E928" i="3"/>
  <c r="E929" i="3" l="1"/>
  <c r="F927" i="3"/>
  <c r="G927" i="3" s="1"/>
  <c r="D929" i="3"/>
  <c r="F928" i="3" s="1"/>
  <c r="G928" i="3"/>
  <c r="D930" i="3" l="1"/>
  <c r="E931" i="3" s="1"/>
  <c r="E930" i="3"/>
  <c r="D931" i="3" l="1"/>
  <c r="F929" i="3"/>
  <c r="G929" i="3" s="1"/>
  <c r="E932" i="3"/>
  <c r="D932" i="3" l="1"/>
  <c r="E933" i="3" s="1"/>
  <c r="F930" i="3"/>
  <c r="G930" i="3" s="1"/>
  <c r="D933" i="3" l="1"/>
  <c r="F931" i="3"/>
  <c r="G931" i="3" s="1"/>
  <c r="E934" i="3"/>
  <c r="D934" i="3" l="1"/>
  <c r="F932" i="3"/>
  <c r="G932" i="3" s="1"/>
  <c r="E935" i="3"/>
  <c r="D935" i="3" l="1"/>
  <c r="F934" i="3" s="1"/>
  <c r="G934" i="3"/>
  <c r="F933" i="3"/>
  <c r="G933" i="3" s="1"/>
  <c r="E936" i="3"/>
  <c r="D936" i="3" l="1"/>
  <c r="E937" i="3" s="1"/>
  <c r="D937" i="3" l="1"/>
  <c r="F935" i="3"/>
  <c r="G935" i="3" s="1"/>
  <c r="E938" i="3"/>
  <c r="D938" i="3" l="1"/>
  <c r="F937" i="3" s="1"/>
  <c r="G937" i="3"/>
  <c r="F936" i="3"/>
  <c r="G936" i="3" s="1"/>
  <c r="E939" i="3" l="1"/>
  <c r="D939" i="3"/>
  <c r="D940" i="3" l="1"/>
  <c r="F939" i="3" s="1"/>
  <c r="G939" i="3"/>
  <c r="E940" i="3"/>
  <c r="F938" i="3"/>
  <c r="G938" i="3" s="1"/>
  <c r="E941" i="3"/>
  <c r="D941" i="3" l="1"/>
  <c r="D942" i="3" l="1"/>
  <c r="E942" i="3"/>
  <c r="F940" i="3"/>
  <c r="G940" i="3" s="1"/>
  <c r="E943" i="3"/>
  <c r="D943" i="3" l="1"/>
  <c r="F941" i="3"/>
  <c r="G941" i="3" s="1"/>
  <c r="E944" i="3"/>
  <c r="D944" i="3" l="1"/>
  <c r="F942" i="3"/>
  <c r="G942" i="3" s="1"/>
  <c r="D945" i="3" l="1"/>
  <c r="G944" i="3"/>
  <c r="F943" i="3"/>
  <c r="G943" i="3" s="1"/>
  <c r="F944" i="3"/>
  <c r="E945" i="3"/>
  <c r="E946" i="3"/>
  <c r="D946" i="3" l="1"/>
  <c r="E947" i="3" l="1"/>
  <c r="D947" i="3"/>
  <c r="E948" i="3" s="1"/>
  <c r="F945" i="3"/>
  <c r="G945" i="3" s="1"/>
  <c r="D948" i="3" l="1"/>
  <c r="F947" i="3" s="1"/>
  <c r="G947" i="3"/>
  <c r="F946" i="3"/>
  <c r="G946" i="3" s="1"/>
  <c r="E949" i="3" l="1"/>
  <c r="D949" i="3"/>
  <c r="E950" i="3" s="1"/>
  <c r="D950" i="3" l="1"/>
  <c r="F948" i="3"/>
  <c r="G948" i="3" s="1"/>
  <c r="E951" i="3"/>
  <c r="D951" i="3" l="1"/>
  <c r="E952" i="3" s="1"/>
  <c r="F949" i="3"/>
  <c r="G949" i="3" s="1"/>
  <c r="D952" i="3" l="1"/>
  <c r="F950" i="3"/>
  <c r="G950" i="3" s="1"/>
  <c r="E953" i="3"/>
  <c r="D953" i="3" l="1"/>
  <c r="F951" i="3"/>
  <c r="G951" i="3" s="1"/>
  <c r="D954" i="3" l="1"/>
  <c r="F952" i="3"/>
  <c r="G952" i="3" s="1"/>
  <c r="E954" i="3"/>
  <c r="D955" i="3" l="1"/>
  <c r="F953" i="3"/>
  <c r="G953" i="3" s="1"/>
  <c r="E955" i="3"/>
  <c r="F954" i="3" l="1"/>
  <c r="G954" i="3" s="1"/>
  <c r="E956" i="3"/>
  <c r="D956" i="3"/>
  <c r="D957" i="3" l="1"/>
  <c r="E957" i="3"/>
  <c r="F955" i="3"/>
  <c r="G955" i="3" s="1"/>
  <c r="E958" i="3"/>
  <c r="D958" i="3" l="1"/>
  <c r="F956" i="3"/>
  <c r="G956" i="3" s="1"/>
  <c r="E959" i="3"/>
  <c r="D959" i="3" l="1"/>
  <c r="F957" i="3"/>
  <c r="G957" i="3" s="1"/>
  <c r="E960" i="3"/>
  <c r="D960" i="3" l="1"/>
  <c r="F958" i="3"/>
  <c r="G958" i="3" s="1"/>
  <c r="E961" i="3"/>
  <c r="D961" i="3" l="1"/>
  <c r="F959" i="3"/>
  <c r="G959" i="3" s="1"/>
  <c r="F960" i="3" l="1"/>
  <c r="G960" i="3" s="1"/>
  <c r="D962" i="3"/>
  <c r="F961" i="3" s="1"/>
  <c r="G961" i="3" s="1"/>
  <c r="E962" i="3"/>
  <c r="E963" i="3" l="1"/>
  <c r="D963" i="3"/>
  <c r="D964" i="3" l="1"/>
  <c r="G963" i="3"/>
  <c r="F962" i="3"/>
  <c r="G962" i="3" s="1"/>
  <c r="E964" i="3"/>
  <c r="F963" i="3"/>
  <c r="E965" i="3"/>
  <c r="D965" i="3" l="1"/>
  <c r="E966" i="3" l="1"/>
  <c r="D966" i="3"/>
  <c r="F965" i="3" s="1"/>
  <c r="G965" i="3" s="1"/>
  <c r="F964" i="3"/>
  <c r="G964" i="3" s="1"/>
  <c r="E967" i="3" l="1"/>
  <c r="D967" i="3"/>
  <c r="D968" i="3" l="1"/>
  <c r="G967" i="3"/>
  <c r="F966" i="3"/>
  <c r="G966" i="3" s="1"/>
  <c r="E968" i="3"/>
  <c r="F967" i="3"/>
  <c r="E969" i="3"/>
  <c r="D969" i="3" l="1"/>
  <c r="E970" i="3" s="1"/>
  <c r="D970" i="3" l="1"/>
  <c r="F968" i="3"/>
  <c r="G968" i="3" s="1"/>
  <c r="E971" i="3" l="1"/>
  <c r="F969" i="3"/>
  <c r="G969" i="3" s="1"/>
  <c r="D971" i="3"/>
  <c r="D972" i="3" l="1"/>
  <c r="F970" i="3"/>
  <c r="G970" i="3" s="1"/>
  <c r="E972" i="3"/>
  <c r="E973" i="3"/>
  <c r="D973" i="3" l="1"/>
  <c r="F971" i="3"/>
  <c r="G971" i="3" s="1"/>
  <c r="D974" i="3" l="1"/>
  <c r="G973" i="3"/>
  <c r="F972" i="3"/>
  <c r="G972" i="3" s="1"/>
  <c r="E974" i="3"/>
  <c r="F973" i="3"/>
  <c r="E975" i="3"/>
  <c r="D975" i="3" l="1"/>
  <c r="E976" i="3"/>
  <c r="D976" i="3" l="1"/>
  <c r="F974" i="3"/>
  <c r="G974" i="3" s="1"/>
  <c r="E977" i="3"/>
  <c r="D977" i="3" l="1"/>
  <c r="F975" i="3"/>
  <c r="G975" i="3" s="1"/>
  <c r="E978" i="3"/>
  <c r="D978" i="3" l="1"/>
  <c r="E979" i="3" s="1"/>
  <c r="F976" i="3"/>
  <c r="G976" i="3" s="1"/>
  <c r="D979" i="3" l="1"/>
  <c r="F977" i="3"/>
  <c r="G977" i="3" s="1"/>
  <c r="D980" i="3" l="1"/>
  <c r="F979" i="3" s="1"/>
  <c r="G979" i="3"/>
  <c r="F978" i="3"/>
  <c r="G978" i="3" s="1"/>
  <c r="E980" i="3"/>
  <c r="E981" i="3"/>
  <c r="D981" i="3" l="1"/>
  <c r="D982" i="3" l="1"/>
  <c r="E982" i="3"/>
  <c r="F980" i="3"/>
  <c r="G980" i="3" s="1"/>
  <c r="F981" i="3" l="1"/>
  <c r="G981" i="3" s="1"/>
  <c r="E983" i="3"/>
  <c r="D983" i="3"/>
  <c r="D984" i="3" l="1"/>
  <c r="F982" i="3"/>
  <c r="G982" i="3" s="1"/>
  <c r="E984" i="3"/>
  <c r="E985" i="3"/>
  <c r="D985" i="3" l="1"/>
  <c r="F983" i="3"/>
  <c r="G983" i="3" s="1"/>
  <c r="F984" i="3"/>
  <c r="G984" i="3" s="1"/>
  <c r="E986" i="3"/>
  <c r="D986" i="3" l="1"/>
  <c r="D987" i="3" l="1"/>
  <c r="E987" i="3"/>
  <c r="F985" i="3"/>
  <c r="G985" i="3" s="1"/>
  <c r="E988" i="3"/>
  <c r="D988" i="3" l="1"/>
  <c r="F987" i="3" s="1"/>
  <c r="G987" i="3"/>
  <c r="F986" i="3"/>
  <c r="G986" i="3" s="1"/>
  <c r="E989" i="3"/>
  <c r="D989" i="3" l="1"/>
  <c r="D990" i="3" l="1"/>
  <c r="G989" i="3"/>
  <c r="F988" i="3"/>
  <c r="G988" i="3" s="1"/>
  <c r="E990" i="3"/>
  <c r="F989" i="3"/>
  <c r="E991" i="3"/>
  <c r="D991" i="3" l="1"/>
  <c r="E992" i="3" s="1"/>
  <c r="D992" i="3" l="1"/>
  <c r="F990" i="3"/>
  <c r="G990" i="3" s="1"/>
  <c r="E993" i="3"/>
  <c r="D993" i="3" l="1"/>
  <c r="F991" i="3"/>
  <c r="G991" i="3" s="1"/>
  <c r="E994" i="3"/>
  <c r="D994" i="3" l="1"/>
  <c r="E995" i="3" s="1"/>
  <c r="F992" i="3"/>
  <c r="G992" i="3" s="1"/>
  <c r="D995" i="3" l="1"/>
  <c r="E996" i="3" s="1"/>
  <c r="F993" i="3"/>
  <c r="G993" i="3" s="1"/>
  <c r="D996" i="3" l="1"/>
  <c r="F994" i="3"/>
  <c r="G994" i="3" s="1"/>
  <c r="E997" i="3"/>
  <c r="D997" i="3" l="1"/>
  <c r="F995" i="3"/>
  <c r="G995" i="3" s="1"/>
  <c r="E998" i="3"/>
  <c r="D998" i="3" l="1"/>
  <c r="F996" i="3"/>
  <c r="G996" i="3" s="1"/>
  <c r="D999" i="3" l="1"/>
  <c r="G998" i="3"/>
  <c r="F997" i="3"/>
  <c r="G997" i="3" s="1"/>
  <c r="E999" i="3"/>
  <c r="F998" i="3"/>
  <c r="E1000" i="3"/>
  <c r="D1000" i="3" l="1"/>
  <c r="E1001" i="3"/>
  <c r="D1001" i="3" l="1"/>
  <c r="E1002" i="3" s="1"/>
  <c r="F999" i="3"/>
  <c r="G999" i="3" s="1"/>
  <c r="D1002" i="3" l="1"/>
  <c r="F1000" i="3"/>
  <c r="G1000" i="3" s="1"/>
  <c r="E1003" i="3"/>
  <c r="D1003" i="3" l="1"/>
  <c r="F1001" i="3"/>
  <c r="G1001" i="3" s="1"/>
  <c r="D1004" i="3" l="1"/>
  <c r="F1002" i="3"/>
  <c r="G1002" i="3" s="1"/>
  <c r="F1003" i="3"/>
  <c r="G1003" i="3" s="1"/>
  <c r="E1004" i="3"/>
  <c r="D1005" i="3" l="1"/>
  <c r="E1005" i="3"/>
  <c r="E1006" i="3"/>
  <c r="D1006" i="3" l="1"/>
  <c r="F1004" i="3"/>
  <c r="G1004" i="3" s="1"/>
  <c r="F1005" i="3"/>
  <c r="G1005" i="3" s="1"/>
  <c r="E1007" i="3"/>
  <c r="D1007" i="3" l="1"/>
  <c r="D1008" i="3" l="1"/>
  <c r="G1007" i="3"/>
  <c r="E1008" i="3"/>
  <c r="F1006" i="3"/>
  <c r="G1006" i="3" s="1"/>
  <c r="F1007" i="3"/>
  <c r="D1009" i="3" l="1"/>
  <c r="E1009" i="3"/>
  <c r="F1008" i="3"/>
  <c r="G1008" i="3" s="1"/>
  <c r="E1010" i="3"/>
  <c r="D1010" i="3" l="1"/>
  <c r="E1011" i="3"/>
  <c r="D1011" i="3" l="1"/>
  <c r="F1009" i="3"/>
  <c r="G1009" i="3" s="1"/>
  <c r="E1012" i="3"/>
  <c r="D1012" i="3" l="1"/>
  <c r="F1010" i="3"/>
  <c r="G1010" i="3" s="1"/>
  <c r="D1013" i="3" l="1"/>
  <c r="E1013" i="3"/>
  <c r="F1011" i="3"/>
  <c r="G1011" i="3" s="1"/>
  <c r="E1014" i="3" l="1"/>
  <c r="D1014" i="3"/>
  <c r="E1015" i="3" s="1"/>
  <c r="F1012" i="3"/>
  <c r="G1012" i="3" s="1"/>
  <c r="D1015" i="3" l="1"/>
  <c r="F1014" i="3" s="1"/>
  <c r="G1014" i="3" s="1"/>
  <c r="F1013" i="3"/>
  <c r="G1013" i="3" s="1"/>
  <c r="E1016" i="3"/>
  <c r="D1016" i="3" l="1"/>
  <c r="D1017" i="3" l="1"/>
  <c r="E1017" i="3"/>
  <c r="F1015" i="3"/>
  <c r="G1015" i="3" s="1"/>
  <c r="E1018" i="3"/>
  <c r="D1018" i="3" l="1"/>
  <c r="E1019" i="3" s="1"/>
  <c r="F1016" i="3"/>
  <c r="G1016" i="3" s="1"/>
  <c r="D1019" i="3" l="1"/>
  <c r="F1017" i="3"/>
  <c r="G1017" i="3" s="1"/>
  <c r="E1020" i="3"/>
  <c r="D1020" i="3" l="1"/>
  <c r="E1021" i="3" s="1"/>
  <c r="F1018" i="3"/>
  <c r="G1018" i="3" s="1"/>
  <c r="D1021" i="3" l="1"/>
  <c r="F1019" i="3"/>
  <c r="G1019" i="3" s="1"/>
  <c r="D1022" i="3" l="1"/>
  <c r="G1021" i="3"/>
  <c r="F1020" i="3"/>
  <c r="G1020" i="3" s="1"/>
  <c r="F1021" i="3"/>
  <c r="E1022" i="3"/>
  <c r="D1023" i="3" l="1"/>
  <c r="E1023" i="3"/>
  <c r="D1024" i="3" l="1"/>
  <c r="G1023" i="3"/>
  <c r="E1024" i="3"/>
  <c r="F1022" i="3"/>
  <c r="G1022" i="3" s="1"/>
  <c r="F1023" i="3"/>
  <c r="D1025" i="3" l="1"/>
  <c r="E1025" i="3"/>
  <c r="F1024" i="3"/>
  <c r="G1024" i="3" s="1"/>
  <c r="E1026" i="3"/>
  <c r="D1026" i="3" l="1"/>
  <c r="E1027" i="3" l="1"/>
  <c r="D1027" i="3"/>
  <c r="F1026" i="3" s="1"/>
  <c r="G1026" i="3" s="1"/>
  <c r="F1025" i="3"/>
  <c r="G1025" i="3" s="1"/>
  <c r="E1028" i="3" l="1"/>
  <c r="D1028" i="3"/>
  <c r="E1029" i="3"/>
  <c r="D1029" i="3" l="1"/>
  <c r="F1027" i="3"/>
  <c r="G1027" i="3" s="1"/>
  <c r="F1028" i="3" l="1"/>
  <c r="G1028" i="3" s="1"/>
  <c r="D1030" i="3"/>
  <c r="F1029" i="3" s="1"/>
  <c r="G1029" i="3"/>
  <c r="E1030" i="3"/>
  <c r="E1031" i="3"/>
  <c r="D1031" i="3" l="1"/>
  <c r="E1032" i="3"/>
  <c r="D1032" i="3" l="1"/>
  <c r="E1033" i="3" s="1"/>
  <c r="F1030" i="3"/>
  <c r="G1030" i="3" s="1"/>
  <c r="D1033" i="3" l="1"/>
  <c r="F1031" i="3"/>
  <c r="G1031" i="3" s="1"/>
  <c r="D1034" i="3" l="1"/>
  <c r="E1034" i="3"/>
  <c r="F1032" i="3"/>
  <c r="G1032" i="3" s="1"/>
  <c r="D1035" i="3" l="1"/>
  <c r="G1034" i="3"/>
  <c r="F1033" i="3"/>
  <c r="G1033" i="3" s="1"/>
  <c r="E1035" i="3"/>
  <c r="F1034" i="3"/>
  <c r="E1036" i="3"/>
  <c r="D1036" i="3" l="1"/>
  <c r="E1037" i="3"/>
  <c r="D1037" i="3" l="1"/>
  <c r="F1035" i="3"/>
  <c r="G1035" i="3" s="1"/>
  <c r="E1038" i="3"/>
  <c r="D1038" i="3" l="1"/>
  <c r="F1036" i="3"/>
  <c r="G1036" i="3" s="1"/>
  <c r="E1039" i="3"/>
  <c r="D1039" i="3" l="1"/>
  <c r="F1037" i="3"/>
  <c r="G1037" i="3" s="1"/>
  <c r="D1040" i="3" l="1"/>
  <c r="G1039" i="3"/>
  <c r="F1038" i="3"/>
  <c r="G1038" i="3" s="1"/>
  <c r="E1040" i="3"/>
  <c r="F1039" i="3"/>
  <c r="E1041" i="3"/>
  <c r="D1041" i="3" l="1"/>
  <c r="D1042" i="3" l="1"/>
  <c r="G1041" i="3"/>
  <c r="E1042" i="3"/>
  <c r="F1040" i="3"/>
  <c r="G1040" i="3" s="1"/>
  <c r="F1041" i="3"/>
  <c r="D1043" i="3" l="1"/>
  <c r="E1043" i="3"/>
  <c r="E1044" i="3"/>
  <c r="D1044" i="3" l="1"/>
  <c r="F1042" i="3"/>
  <c r="G1042" i="3" s="1"/>
  <c r="F1043" i="3"/>
  <c r="G1043" i="3" s="1"/>
  <c r="E1045" i="3"/>
  <c r="D1045" i="3" l="1"/>
  <c r="D1046" i="3" l="1"/>
  <c r="F1045" i="3" s="1"/>
  <c r="G1045" i="3"/>
  <c r="E1046" i="3"/>
  <c r="F1044" i="3"/>
  <c r="G1044" i="3" s="1"/>
  <c r="E1047" i="3"/>
  <c r="D1047" i="3" l="1"/>
  <c r="E1048" i="3" s="1"/>
  <c r="D1048" i="3" l="1"/>
  <c r="F1047" i="3" s="1"/>
  <c r="G1047" i="3"/>
  <c r="F1046" i="3"/>
  <c r="G1046" i="3" s="1"/>
  <c r="E1049" i="3"/>
  <c r="D1049" i="3" l="1"/>
  <c r="E1050" i="3" l="1"/>
  <c r="F1048" i="3"/>
  <c r="G1048" i="3" s="1"/>
  <c r="D1050" i="3"/>
  <c r="D1051" i="3" l="1"/>
  <c r="F1050" i="3" s="1"/>
  <c r="G1050" i="3"/>
  <c r="E1051" i="3"/>
  <c r="F1049" i="3"/>
  <c r="G1049" i="3" s="1"/>
  <c r="E1052" i="3"/>
  <c r="D1052" i="3" l="1"/>
  <c r="E1053" i="3"/>
  <c r="D1053" i="3" l="1"/>
  <c r="E1054" i="3" s="1"/>
  <c r="F1051" i="3"/>
  <c r="G1051" i="3" s="1"/>
  <c r="D1054" i="3" l="1"/>
  <c r="F1052" i="3"/>
  <c r="G1052" i="3" s="1"/>
  <c r="E1055" i="3"/>
  <c r="D1055" i="3" l="1"/>
  <c r="F1053" i="3"/>
  <c r="G1053" i="3" s="1"/>
  <c r="E1056" i="3"/>
  <c r="D1056" i="3" l="1"/>
  <c r="F1054" i="3"/>
  <c r="G1054" i="3" s="1"/>
  <c r="D1057" i="3" l="1"/>
  <c r="F1056" i="3" s="1"/>
  <c r="G1056" i="3"/>
  <c r="F1055" i="3"/>
  <c r="G1055" i="3" s="1"/>
  <c r="E1057" i="3"/>
  <c r="D1058" i="3" l="1"/>
  <c r="E1058" i="3"/>
  <c r="E1059" i="3"/>
  <c r="D1059" i="3" l="1"/>
  <c r="G1058" i="3"/>
  <c r="F1057" i="3"/>
  <c r="G1057" i="3" s="1"/>
  <c r="F1058" i="3"/>
  <c r="E1060" i="3"/>
  <c r="D1060" i="3" l="1"/>
  <c r="F1059" i="3" s="1"/>
  <c r="G1059" i="3" s="1"/>
  <c r="E1061" i="3" l="1"/>
  <c r="D1061" i="3"/>
  <c r="E1062" i="3"/>
  <c r="D1062" i="3" l="1"/>
  <c r="F1060" i="3"/>
  <c r="G1060" i="3" s="1"/>
  <c r="D1063" i="3" l="1"/>
  <c r="F1061" i="3"/>
  <c r="G1061" i="3" s="1"/>
  <c r="E1063" i="3"/>
  <c r="F1062" i="3" l="1"/>
  <c r="G1062" i="3" s="1"/>
  <c r="E1064" i="3"/>
  <c r="D1064" i="3"/>
  <c r="D1065" i="3" l="1"/>
  <c r="G1064" i="3"/>
  <c r="E1065" i="3"/>
  <c r="F1064" i="3"/>
  <c r="F1063" i="3"/>
  <c r="G1063" i="3" s="1"/>
  <c r="D1066" i="3" l="1"/>
  <c r="F1065" i="3" s="1"/>
  <c r="G1065" i="3"/>
  <c r="E1066" i="3"/>
  <c r="D1067" i="3" l="1"/>
  <c r="G1066" i="3"/>
  <c r="E1067" i="3"/>
  <c r="F1066" i="3"/>
  <c r="E1068" i="3"/>
  <c r="D1068" i="3" l="1"/>
  <c r="E1069" i="3" s="1"/>
  <c r="D1069" i="3" l="1"/>
  <c r="F1067" i="3"/>
  <c r="G1067" i="3" s="1"/>
  <c r="E1070" i="3" l="1"/>
  <c r="F1068" i="3"/>
  <c r="G1068" i="3" s="1"/>
  <c r="D1070" i="3"/>
  <c r="D1071" i="3" l="1"/>
  <c r="E1071" i="3"/>
  <c r="F1069" i="3"/>
  <c r="G1069" i="3" s="1"/>
  <c r="E1072" i="3"/>
  <c r="D1072" i="3" l="1"/>
  <c r="F1070" i="3"/>
  <c r="G1070" i="3" s="1"/>
  <c r="E1073" i="3"/>
  <c r="D1073" i="3" l="1"/>
  <c r="E1074" i="3" s="1"/>
  <c r="F1071" i="3"/>
  <c r="G1071" i="3" s="1"/>
  <c r="D1074" i="3" l="1"/>
  <c r="F1072" i="3"/>
  <c r="G1072" i="3" s="1"/>
  <c r="D1075" i="3" l="1"/>
  <c r="G1074" i="3"/>
  <c r="F1073" i="3"/>
  <c r="G1073" i="3" s="1"/>
  <c r="E1075" i="3"/>
  <c r="F1074" i="3"/>
  <c r="E1076" i="3" l="1"/>
  <c r="D1076" i="3"/>
  <c r="E1077" i="3" s="1"/>
  <c r="D1077" i="3" l="1"/>
  <c r="F1076" i="3" s="1"/>
  <c r="G1076" i="3"/>
  <c r="F1075" i="3"/>
  <c r="G1075" i="3" s="1"/>
  <c r="E1078" i="3" l="1"/>
  <c r="D1078" i="3"/>
  <c r="E1079" i="3" s="1"/>
  <c r="F1077" i="3" l="1"/>
  <c r="G1077" i="3" s="1"/>
  <c r="D1079" i="3"/>
  <c r="E1080" i="3" s="1"/>
  <c r="D1080" i="3" l="1"/>
  <c r="F1078" i="3"/>
  <c r="G1078" i="3" s="1"/>
  <c r="E1081" i="3" l="1"/>
  <c r="D1081" i="3"/>
  <c r="F1080" i="3" s="1"/>
  <c r="G1080" i="3"/>
  <c r="F1079" i="3"/>
  <c r="G1079" i="3" s="1"/>
  <c r="E1082" i="3" l="1"/>
  <c r="D1082" i="3"/>
  <c r="D1083" i="3" l="1"/>
  <c r="F1082" i="3" s="1"/>
  <c r="G1082" i="3"/>
  <c r="E1083" i="3"/>
  <c r="F1081" i="3"/>
  <c r="G1081" i="3" s="1"/>
  <c r="D1084" i="3" l="1"/>
  <c r="E1085" i="3" s="1"/>
  <c r="E1084" i="3"/>
  <c r="D1085" i="3" l="1"/>
  <c r="F1084" i="3" s="1"/>
  <c r="G1084" i="3"/>
  <c r="F1083" i="3"/>
  <c r="G1083" i="3" s="1"/>
  <c r="E1086" i="3"/>
  <c r="D1086" i="3" l="1"/>
  <c r="E1087" i="3" s="1"/>
  <c r="D1087" i="3" l="1"/>
  <c r="F1086" i="3" s="1"/>
  <c r="G1086" i="3"/>
  <c r="F1085" i="3"/>
  <c r="G1085" i="3" s="1"/>
  <c r="E1088" i="3"/>
  <c r="D1088" i="3" l="1"/>
  <c r="D1089" i="3" l="1"/>
  <c r="G1088" i="3"/>
  <c r="F1087" i="3"/>
  <c r="G1087" i="3" s="1"/>
  <c r="E1089" i="3"/>
  <c r="F1088" i="3"/>
  <c r="E1090" i="3"/>
  <c r="D1090" i="3" l="1"/>
  <c r="E1091" i="3"/>
  <c r="D1091" i="3" l="1"/>
  <c r="F1089" i="3"/>
  <c r="G1089" i="3" s="1"/>
  <c r="E1092" i="3"/>
  <c r="D1092" i="3" l="1"/>
  <c r="F1090" i="3"/>
  <c r="G1090" i="3" s="1"/>
  <c r="E1093" i="3"/>
  <c r="D1093" i="3" l="1"/>
  <c r="F1091" i="3"/>
  <c r="G1091" i="3" s="1"/>
  <c r="E1094" i="3"/>
  <c r="D1094" i="3" l="1"/>
  <c r="F1092" i="3"/>
  <c r="G1092" i="3" s="1"/>
  <c r="E1095" i="3" l="1"/>
  <c r="F1093" i="3"/>
  <c r="G1093" i="3" s="1"/>
  <c r="D1095" i="3"/>
  <c r="E1096" i="3" s="1"/>
  <c r="D1096" i="3" l="1"/>
  <c r="F1094" i="3"/>
  <c r="G1094" i="3" s="1"/>
  <c r="E1097" i="3"/>
  <c r="D1097" i="3" l="1"/>
  <c r="F1096" i="3" s="1"/>
  <c r="G1096" i="3"/>
  <c r="F1095" i="3"/>
  <c r="G1095" i="3" s="1"/>
  <c r="E1098" i="3" l="1"/>
  <c r="D1098" i="3"/>
  <c r="D1099" i="3" l="1"/>
  <c r="G1098" i="3"/>
  <c r="E1099" i="3"/>
  <c r="F1097" i="3"/>
  <c r="G1097" i="3" s="1"/>
  <c r="F1098" i="3"/>
  <c r="E1100" i="3"/>
  <c r="D1100" i="3" l="1"/>
  <c r="E1101" i="3"/>
  <c r="D1101" i="3" l="1"/>
  <c r="F1099" i="3"/>
  <c r="G1099" i="3" s="1"/>
  <c r="E1102" i="3"/>
  <c r="D1102" i="3" l="1"/>
  <c r="F1100" i="3"/>
  <c r="G1100" i="3" s="1"/>
  <c r="E1103" i="3"/>
  <c r="D1103" i="3" l="1"/>
  <c r="F1101" i="3"/>
  <c r="G1101" i="3" s="1"/>
  <c r="F1102" i="3"/>
  <c r="G1102" i="3" s="1"/>
  <c r="E1104" i="3"/>
  <c r="D1104" i="3" l="1"/>
  <c r="D1105" i="3" l="1"/>
  <c r="E1105" i="3"/>
  <c r="F1103" i="3"/>
  <c r="G1103" i="3" s="1"/>
  <c r="F1104" i="3" l="1"/>
  <c r="G1104" i="3" s="1"/>
  <c r="E1106" i="3"/>
  <c r="D1106" i="3"/>
  <c r="D1107" i="3" l="1"/>
  <c r="E1107" i="3"/>
  <c r="F1106" i="3"/>
  <c r="G1106" i="3" s="1"/>
  <c r="F1105" i="3"/>
  <c r="G1105" i="3" s="1"/>
  <c r="D1108" i="3" l="1"/>
  <c r="E1108" i="3"/>
  <c r="D1109" i="3" l="1"/>
  <c r="F1108" i="3" s="1"/>
  <c r="G1108" i="3"/>
  <c r="E1109" i="3"/>
  <c r="F1107" i="3"/>
  <c r="G1107" i="3" s="1"/>
  <c r="E1110" i="3"/>
  <c r="D1110" i="3" l="1"/>
  <c r="D1111" i="3" l="1"/>
  <c r="G1110" i="3"/>
  <c r="F1109" i="3"/>
  <c r="G1109" i="3" s="1"/>
  <c r="E1111" i="3"/>
  <c r="F1110" i="3"/>
  <c r="E1112" i="3"/>
  <c r="D1112" i="3" l="1"/>
  <c r="E1113" i="3" s="1"/>
  <c r="D1113" i="3" l="1"/>
  <c r="F1111" i="3"/>
  <c r="G1111" i="3" s="1"/>
  <c r="E1114" i="3"/>
  <c r="D1114" i="3" l="1"/>
  <c r="F1112" i="3"/>
  <c r="G1112" i="3" s="1"/>
  <c r="E1115" i="3" l="1"/>
  <c r="D1115" i="3"/>
  <c r="F1114" i="3" s="1"/>
  <c r="G1114" i="3"/>
  <c r="F1113" i="3"/>
  <c r="G1113" i="3" s="1"/>
  <c r="E1116" i="3" l="1"/>
  <c r="D1116" i="3"/>
  <c r="E1117" i="3"/>
  <c r="D1117" i="3" l="1"/>
  <c r="F1115" i="3"/>
  <c r="G1115" i="3" s="1"/>
  <c r="E1118" i="3" l="1"/>
  <c r="D1118" i="3"/>
  <c r="F1117" i="3" s="1"/>
  <c r="G1117" i="3"/>
  <c r="F1116" i="3"/>
  <c r="G1116" i="3" s="1"/>
  <c r="E1119" i="3" l="1"/>
  <c r="D1119" i="3"/>
  <c r="E1120" i="3" l="1"/>
  <c r="D1120" i="3"/>
  <c r="E1121" i="3" s="1"/>
  <c r="F1118" i="3"/>
  <c r="G1118" i="3" s="1"/>
  <c r="D1121" i="3" l="1"/>
  <c r="F1120" i="3" s="1"/>
  <c r="G1120" i="3"/>
  <c r="F1119" i="3"/>
  <c r="G1119" i="3" s="1"/>
  <c r="E1122" i="3"/>
  <c r="D1122" i="3" l="1"/>
  <c r="E1123" i="3" s="1"/>
  <c r="D1123" i="3" l="1"/>
  <c r="F1121" i="3"/>
  <c r="G1121" i="3" s="1"/>
  <c r="E1124" i="3" l="1"/>
  <c r="D1124" i="3"/>
  <c r="F1123" i="3" s="1"/>
  <c r="G1123" i="3"/>
  <c r="F1122" i="3"/>
  <c r="G1122" i="3" s="1"/>
  <c r="E1125" i="3" l="1"/>
  <c r="D1125" i="3"/>
  <c r="E1126" i="3" s="1"/>
  <c r="D1126" i="3" l="1"/>
  <c r="E1127" i="3" s="1"/>
  <c r="F1124" i="3"/>
  <c r="G1124" i="3" s="1"/>
  <c r="D1127" i="3" l="1"/>
  <c r="F1125" i="3"/>
  <c r="G1125" i="3" s="1"/>
  <c r="E1128" i="3" l="1"/>
  <c r="D1128" i="3"/>
  <c r="F1126" i="3"/>
  <c r="G1126" i="3" s="1"/>
  <c r="D1129" i="3" l="1"/>
  <c r="F1128" i="3" s="1"/>
  <c r="G1128" i="3"/>
  <c r="E1129" i="3"/>
  <c r="F1127" i="3"/>
  <c r="G1127" i="3" s="1"/>
  <c r="E1130" i="3"/>
  <c r="D1130" i="3" l="1"/>
  <c r="D1131" i="3" l="1"/>
  <c r="G1130" i="3"/>
  <c r="F1129" i="3"/>
  <c r="G1129" i="3" s="1"/>
  <c r="E1131" i="3"/>
  <c r="F1130" i="3"/>
  <c r="E1132" i="3"/>
  <c r="D1132" i="3" l="1"/>
  <c r="D1133" i="3" l="1"/>
  <c r="G1132" i="3"/>
  <c r="F1131" i="3"/>
  <c r="G1131" i="3" s="1"/>
  <c r="E1133" i="3"/>
  <c r="F1132" i="3"/>
  <c r="E1134" i="3"/>
  <c r="D1134" i="3" l="1"/>
  <c r="E1135" i="3" l="1"/>
  <c r="D1135" i="3"/>
  <c r="F1133" i="3"/>
  <c r="G1133" i="3" s="1"/>
  <c r="D1136" i="3" l="1"/>
  <c r="G1135" i="3"/>
  <c r="E1136" i="3"/>
  <c r="F1135" i="3"/>
  <c r="F1134" i="3"/>
  <c r="G1134" i="3" s="1"/>
  <c r="E1137" i="3"/>
  <c r="D1137" i="3" l="1"/>
  <c r="E1138" i="3"/>
  <c r="D1138" i="3" l="1"/>
  <c r="F1136" i="3"/>
  <c r="G1136" i="3" s="1"/>
  <c r="E1139" i="3" l="1"/>
  <c r="D1139" i="3"/>
  <c r="E1140" i="3" s="1"/>
  <c r="F1137" i="3"/>
  <c r="G1137" i="3" s="1"/>
  <c r="D1140" i="3" l="1"/>
  <c r="G1139" i="3"/>
  <c r="F1139" i="3"/>
  <c r="F1138" i="3"/>
  <c r="G1138" i="3" s="1"/>
  <c r="E1141" i="3"/>
  <c r="D1141" i="3" l="1"/>
  <c r="D1142" i="3" l="1"/>
  <c r="G1141" i="3"/>
  <c r="F1140" i="3"/>
  <c r="G1140" i="3" s="1"/>
  <c r="E1142" i="3"/>
  <c r="F1141" i="3"/>
  <c r="E1143" i="3"/>
  <c r="D1143" i="3" l="1"/>
  <c r="E1144" i="3"/>
  <c r="D1144" i="3" l="1"/>
  <c r="F1142" i="3"/>
  <c r="G1142" i="3" s="1"/>
  <c r="E1145" i="3"/>
  <c r="D1145" i="3" l="1"/>
  <c r="F1143" i="3"/>
  <c r="G1143" i="3" s="1"/>
  <c r="E1146" i="3"/>
  <c r="D1146" i="3" l="1"/>
  <c r="F1144" i="3"/>
  <c r="G1144" i="3" s="1"/>
  <c r="E1147" i="3"/>
  <c r="D1147" i="3" l="1"/>
  <c r="F1145" i="3"/>
  <c r="G1145" i="3" s="1"/>
  <c r="E1148" i="3"/>
  <c r="D1148" i="3" l="1"/>
  <c r="F1146" i="3"/>
  <c r="G1146" i="3" s="1"/>
  <c r="E1149" i="3"/>
  <c r="D1149" i="3" l="1"/>
  <c r="F1147" i="3"/>
  <c r="G1147" i="3" s="1"/>
  <c r="E1150" i="3"/>
  <c r="D1150" i="3" l="1"/>
  <c r="F1148" i="3"/>
  <c r="G1148" i="3" s="1"/>
  <c r="E1151" i="3"/>
  <c r="D1151" i="3" l="1"/>
  <c r="F1149" i="3"/>
  <c r="G1149" i="3" s="1"/>
  <c r="E1152" i="3"/>
  <c r="D1152" i="3" l="1"/>
  <c r="F1150" i="3"/>
  <c r="G1150" i="3" s="1"/>
  <c r="D1153" i="3" l="1"/>
  <c r="E1153" i="3"/>
  <c r="F1151" i="3"/>
  <c r="G1151" i="3" s="1"/>
  <c r="D1154" i="3" l="1"/>
  <c r="G1153" i="3"/>
  <c r="F1152" i="3"/>
  <c r="G1152" i="3" s="1"/>
  <c r="E1154" i="3"/>
  <c r="F1153" i="3"/>
  <c r="D1155" i="3" l="1"/>
  <c r="E1155" i="3"/>
  <c r="E1156" i="3"/>
  <c r="D1156" i="3" l="1"/>
  <c r="G1155" i="3"/>
  <c r="F1154" i="3"/>
  <c r="G1154" i="3" s="1"/>
  <c r="F1155" i="3"/>
  <c r="E1157" i="3"/>
  <c r="D1157" i="3" l="1"/>
  <c r="D1158" i="3" l="1"/>
  <c r="G1157" i="3"/>
  <c r="F1156" i="3"/>
  <c r="G1156" i="3" s="1"/>
  <c r="E1158" i="3"/>
  <c r="F1157" i="3"/>
  <c r="E1159" i="3"/>
  <c r="D1159" i="3" l="1"/>
  <c r="D1160" i="3" l="1"/>
  <c r="G1159" i="3"/>
  <c r="F1158" i="3"/>
  <c r="G1158" i="3" s="1"/>
  <c r="E1160" i="3"/>
  <c r="F1159" i="3"/>
  <c r="E1161" i="3"/>
  <c r="D1161" i="3" l="1"/>
  <c r="D1162" i="3" l="1"/>
  <c r="G1161" i="3"/>
  <c r="F1160" i="3"/>
  <c r="G1160" i="3" s="1"/>
  <c r="E1162" i="3"/>
  <c r="F1161" i="3"/>
  <c r="E1163" i="3"/>
  <c r="D1163" i="3" l="1"/>
  <c r="D1164" i="3" l="1"/>
  <c r="G1163" i="3"/>
  <c r="E1164" i="3"/>
  <c r="F1162" i="3"/>
  <c r="G1162" i="3" s="1"/>
  <c r="F1163" i="3"/>
  <c r="D1165" i="3" l="1"/>
  <c r="E1165" i="3"/>
  <c r="E1166" i="3"/>
  <c r="D1166" i="3" l="1"/>
  <c r="F1164" i="3"/>
  <c r="G1164" i="3" s="1"/>
  <c r="F1165" i="3"/>
  <c r="G1165" i="3" s="1"/>
  <c r="E1167" i="3"/>
  <c r="D1167" i="3" l="1"/>
  <c r="D1168" i="3" l="1"/>
  <c r="E1168" i="3"/>
  <c r="F1166" i="3"/>
  <c r="G1166" i="3" s="1"/>
  <c r="E1169" i="3"/>
  <c r="D1169" i="3" l="1"/>
  <c r="F1167" i="3"/>
  <c r="G1167" i="3" s="1"/>
  <c r="E1170" i="3"/>
  <c r="D1170" i="3" l="1"/>
  <c r="F1168" i="3"/>
  <c r="G1168" i="3" s="1"/>
  <c r="D1171" i="3" l="1"/>
  <c r="F1169" i="3"/>
  <c r="G1169" i="3" s="1"/>
  <c r="E1171" i="3"/>
  <c r="F1170" i="3" l="1"/>
  <c r="G1170" i="3" s="1"/>
  <c r="E1172" i="3"/>
  <c r="D1172" i="3"/>
  <c r="D1173" i="3" l="1"/>
  <c r="F1171" i="3"/>
  <c r="G1171" i="3" s="1"/>
  <c r="E1173" i="3"/>
  <c r="E1174" i="3"/>
  <c r="D1174" i="3" l="1"/>
  <c r="F1172" i="3"/>
  <c r="G1172" i="3" s="1"/>
  <c r="E1175" i="3"/>
  <c r="D1175" i="3" l="1"/>
  <c r="F1173" i="3"/>
  <c r="G1173" i="3" s="1"/>
  <c r="E1176" i="3"/>
  <c r="D1176" i="3" l="1"/>
  <c r="F1174" i="3"/>
  <c r="G1174" i="3" s="1"/>
  <c r="E1177" i="3"/>
  <c r="D1177" i="3" l="1"/>
  <c r="F1175" i="3"/>
  <c r="G1175" i="3" s="1"/>
  <c r="E1178" i="3"/>
  <c r="D1178" i="3" l="1"/>
  <c r="F1176" i="3"/>
  <c r="G1176" i="3" s="1"/>
  <c r="E1179" i="3"/>
  <c r="D1179" i="3" l="1"/>
  <c r="F1177" i="3"/>
  <c r="G1177" i="3" s="1"/>
  <c r="E1180" i="3"/>
  <c r="D1180" i="3" l="1"/>
  <c r="F1178" i="3"/>
  <c r="G1178" i="3" s="1"/>
  <c r="E1181" i="3"/>
  <c r="D1181" i="3" l="1"/>
  <c r="F1179" i="3"/>
  <c r="G1179" i="3" s="1"/>
  <c r="E1182" i="3"/>
  <c r="D1182" i="3" l="1"/>
  <c r="F1180" i="3"/>
  <c r="G1180" i="3" s="1"/>
  <c r="E1183" i="3"/>
  <c r="D1183" i="3" l="1"/>
  <c r="F1181" i="3"/>
  <c r="G1181" i="3" s="1"/>
  <c r="E1184" i="3"/>
  <c r="D1184" i="3" l="1"/>
  <c r="F1182" i="3"/>
  <c r="G1182" i="3" s="1"/>
  <c r="E1185" i="3"/>
  <c r="D1185" i="3" l="1"/>
  <c r="F1183" i="3"/>
  <c r="G1183" i="3" s="1"/>
  <c r="E1186" i="3"/>
  <c r="D1186" i="3" l="1"/>
  <c r="F1184" i="3"/>
  <c r="G1184" i="3" s="1"/>
  <c r="E1187" i="3"/>
  <c r="D1187" i="3" l="1"/>
  <c r="F1185" i="3"/>
  <c r="G1185" i="3" s="1"/>
  <c r="E1188" i="3"/>
  <c r="D1188" i="3" l="1"/>
  <c r="F1186" i="3"/>
  <c r="G1186" i="3" s="1"/>
  <c r="E1189" i="3"/>
  <c r="D1189" i="3" l="1"/>
  <c r="F1187" i="3"/>
  <c r="G1187" i="3" s="1"/>
  <c r="E1190" i="3"/>
  <c r="D1190" i="3" l="1"/>
  <c r="F1188" i="3"/>
  <c r="G1188" i="3" s="1"/>
  <c r="E1191" i="3"/>
  <c r="D1191" i="3" l="1"/>
  <c r="F1189" i="3"/>
  <c r="G1189" i="3" s="1"/>
  <c r="E1192" i="3"/>
  <c r="D1192" i="3" l="1"/>
  <c r="F1190" i="3"/>
  <c r="G1190" i="3" s="1"/>
  <c r="E1193" i="3"/>
  <c r="D1193" i="3" l="1"/>
  <c r="F1191" i="3"/>
  <c r="G1191" i="3" s="1"/>
  <c r="E1194" i="3"/>
  <c r="D1194" i="3" l="1"/>
  <c r="F1192" i="3"/>
  <c r="G1192" i="3" s="1"/>
  <c r="E1195" i="3"/>
  <c r="D1195" i="3" l="1"/>
  <c r="F1193" i="3"/>
  <c r="G1193" i="3" s="1"/>
  <c r="E1196" i="3"/>
  <c r="D1196" i="3" l="1"/>
  <c r="F1194" i="3"/>
  <c r="G1194" i="3" s="1"/>
  <c r="E1197" i="3"/>
  <c r="D1197" i="3" l="1"/>
  <c r="F1195" i="3"/>
  <c r="G1195" i="3" s="1"/>
  <c r="E1198" i="3"/>
  <c r="D1198" i="3" l="1"/>
  <c r="F1196" i="3"/>
  <c r="G1196" i="3" s="1"/>
  <c r="E1199" i="3"/>
  <c r="D1199" i="3" l="1"/>
  <c r="F1197" i="3"/>
  <c r="G1197" i="3" s="1"/>
  <c r="E1200" i="3"/>
  <c r="D1200" i="3" l="1"/>
  <c r="F1198" i="3"/>
  <c r="G1198" i="3" s="1"/>
  <c r="E1201" i="3"/>
  <c r="D1201" i="3" l="1"/>
  <c r="F1199" i="3"/>
  <c r="G1199" i="3" s="1"/>
  <c r="E1202" i="3"/>
  <c r="D1202" i="3" l="1"/>
  <c r="F1200" i="3"/>
  <c r="G1200" i="3" s="1"/>
  <c r="E1203" i="3"/>
  <c r="D1203" i="3" l="1"/>
  <c r="F1201" i="3"/>
  <c r="G1201" i="3" s="1"/>
  <c r="E1204" i="3"/>
  <c r="D1204" i="3" l="1"/>
  <c r="F1202" i="3"/>
  <c r="G1202" i="3" s="1"/>
  <c r="E1205" i="3"/>
  <c r="D1205" i="3" l="1"/>
  <c r="F1203" i="3"/>
  <c r="G1203" i="3" s="1"/>
  <c r="D1206" i="3" l="1"/>
  <c r="E1206" i="3"/>
  <c r="F1204" i="3"/>
  <c r="G1204" i="3" s="1"/>
  <c r="E1207" i="3"/>
  <c r="D1207" i="3" l="1"/>
  <c r="F1205" i="3"/>
  <c r="G1205" i="3" s="1"/>
  <c r="D1208" i="3" l="1"/>
  <c r="E1208" i="3"/>
  <c r="F1206" i="3"/>
  <c r="G1206" i="3" s="1"/>
  <c r="E1209" i="3"/>
  <c r="D1209" i="3" l="1"/>
  <c r="F1207" i="3"/>
  <c r="G1207" i="3" s="1"/>
  <c r="E1210" i="3"/>
  <c r="D1210" i="3" l="1"/>
  <c r="E1211" i="3" s="1"/>
  <c r="F1208" i="3"/>
  <c r="G1208" i="3" s="1"/>
  <c r="D1211" i="3" l="1"/>
  <c r="F1209" i="3"/>
  <c r="G1209" i="3" s="1"/>
  <c r="E1212" i="3"/>
  <c r="D1212" i="3" l="1"/>
  <c r="F1210" i="3"/>
  <c r="G1210" i="3" s="1"/>
  <c r="D1213" i="3" l="1"/>
  <c r="E1213" i="3"/>
  <c r="F1211" i="3"/>
  <c r="G1211" i="3" s="1"/>
  <c r="E1214" i="3"/>
  <c r="D1214" i="3" l="1"/>
  <c r="F1212" i="3"/>
  <c r="G1212" i="3" s="1"/>
  <c r="D1215" i="3" l="1"/>
  <c r="E1215" i="3"/>
  <c r="F1213" i="3"/>
  <c r="G1213" i="3" s="1"/>
  <c r="E1216" i="3"/>
  <c r="D1216" i="3" l="1"/>
  <c r="F1214" i="3"/>
  <c r="G1214" i="3" s="1"/>
  <c r="E1217" i="3"/>
  <c r="D1217" i="3" l="1"/>
  <c r="F1215" i="3"/>
  <c r="G1215" i="3" s="1"/>
  <c r="E1218" i="3"/>
  <c r="D1218" i="3" l="1"/>
  <c r="F1216" i="3"/>
  <c r="G1216" i="3" s="1"/>
  <c r="E1219" i="3"/>
  <c r="D1219" i="3" l="1"/>
  <c r="F1217" i="3"/>
  <c r="G1217" i="3" s="1"/>
  <c r="E1220" i="3"/>
  <c r="D1220" i="3" l="1"/>
  <c r="F1218" i="3"/>
  <c r="G1218" i="3" s="1"/>
  <c r="E1221" i="3"/>
  <c r="D1221" i="3" l="1"/>
  <c r="F1219" i="3"/>
  <c r="G1219" i="3" s="1"/>
  <c r="E1222" i="3"/>
  <c r="D1222" i="3" l="1"/>
  <c r="F1220" i="3"/>
  <c r="G1220" i="3" s="1"/>
  <c r="E1223" i="3"/>
  <c r="D1223" i="3" l="1"/>
  <c r="F1221" i="3"/>
  <c r="G1221" i="3" s="1"/>
  <c r="E1224" i="3"/>
  <c r="D1224" i="3" l="1"/>
  <c r="F1222" i="3"/>
  <c r="G1222" i="3" s="1"/>
  <c r="E1225" i="3"/>
  <c r="D1225" i="3" l="1"/>
  <c r="F1223" i="3"/>
  <c r="G1223" i="3" s="1"/>
  <c r="E1226" i="3"/>
  <c r="D1226" i="3" l="1"/>
  <c r="F1224" i="3"/>
  <c r="G1224" i="3" s="1"/>
  <c r="E1227" i="3"/>
  <c r="D1227" i="3" l="1"/>
  <c r="F1225" i="3"/>
  <c r="G1225" i="3" s="1"/>
  <c r="E1228" i="3"/>
  <c r="D1228" i="3" l="1"/>
  <c r="F1226" i="3"/>
  <c r="G1226" i="3" s="1"/>
  <c r="E1229" i="3"/>
  <c r="D1229" i="3" l="1"/>
  <c r="F1227" i="3"/>
  <c r="G1227" i="3" s="1"/>
  <c r="E1230" i="3"/>
  <c r="D1230" i="3" l="1"/>
  <c r="F1228" i="3"/>
  <c r="G1228" i="3" s="1"/>
  <c r="E1231" i="3"/>
  <c r="D1231" i="3" l="1"/>
  <c r="F1229" i="3"/>
  <c r="G1229" i="3" s="1"/>
  <c r="E1232" i="3"/>
  <c r="D1232" i="3" l="1"/>
  <c r="F1230" i="3"/>
  <c r="G1230" i="3" s="1"/>
  <c r="E1233" i="3"/>
  <c r="D1233" i="3" l="1"/>
  <c r="E1234" i="3" s="1"/>
  <c r="F1231" i="3"/>
  <c r="G1231" i="3" s="1"/>
  <c r="D1234" i="3" l="1"/>
  <c r="E1235" i="3" s="1"/>
  <c r="F1232" i="3"/>
  <c r="G1232" i="3" s="1"/>
  <c r="D1235" i="3" l="1"/>
  <c r="F1233" i="3"/>
  <c r="G1233" i="3" s="1"/>
  <c r="E1236" i="3"/>
  <c r="D1236" i="3" l="1"/>
  <c r="F1234" i="3"/>
  <c r="G1234" i="3" s="1"/>
  <c r="E1237" i="3"/>
  <c r="D1237" i="3" l="1"/>
  <c r="F1235" i="3"/>
  <c r="G1235" i="3" s="1"/>
  <c r="E1238" i="3"/>
  <c r="D1238" i="3" l="1"/>
  <c r="F1236" i="3"/>
  <c r="G1236" i="3" s="1"/>
  <c r="E1239" i="3"/>
  <c r="D1239" i="3" l="1"/>
  <c r="F1237" i="3"/>
  <c r="G1237" i="3" s="1"/>
  <c r="E1240" i="3"/>
  <c r="D1240" i="3" l="1"/>
  <c r="F1238" i="3"/>
  <c r="G1238" i="3" s="1"/>
  <c r="E1241" i="3"/>
  <c r="D1241" i="3" l="1"/>
  <c r="F1239" i="3"/>
  <c r="G1239" i="3" s="1"/>
  <c r="E1242" i="3"/>
  <c r="D1242" i="3" l="1"/>
  <c r="F1240" i="3"/>
  <c r="G1240" i="3" s="1"/>
  <c r="E1243" i="3"/>
  <c r="D1243" i="3" l="1"/>
  <c r="F1241" i="3"/>
  <c r="G1241" i="3" s="1"/>
  <c r="E1244" i="3"/>
  <c r="D1244" i="3" l="1"/>
  <c r="F1242" i="3"/>
  <c r="G1242" i="3" s="1"/>
  <c r="E1245" i="3"/>
  <c r="D1245" i="3" l="1"/>
  <c r="F1243" i="3"/>
  <c r="G1243" i="3" s="1"/>
  <c r="E1246" i="3"/>
  <c r="D1246" i="3" l="1"/>
  <c r="F1244" i="3"/>
  <c r="G1244" i="3" s="1"/>
  <c r="E1247" i="3"/>
  <c r="D1247" i="3" l="1"/>
  <c r="F1245" i="3"/>
  <c r="G1245" i="3" s="1"/>
  <c r="E1248" i="3"/>
  <c r="D1248" i="3" l="1"/>
  <c r="F1246" i="3"/>
  <c r="G1246" i="3" s="1"/>
  <c r="E1249" i="3"/>
  <c r="D1249" i="3" l="1"/>
  <c r="E1250" i="3" s="1"/>
  <c r="F1247" i="3"/>
  <c r="G1247" i="3" s="1"/>
  <c r="D1250" i="3" l="1"/>
  <c r="F1248" i="3"/>
  <c r="G1248" i="3" s="1"/>
  <c r="E1251" i="3"/>
  <c r="D1251" i="3" l="1"/>
  <c r="F1249" i="3"/>
  <c r="G1249" i="3" s="1"/>
  <c r="E1252" i="3"/>
  <c r="D1252" i="3" l="1"/>
  <c r="F1250" i="3"/>
  <c r="G1250" i="3" s="1"/>
  <c r="E1253" i="3"/>
  <c r="D1253" i="3" l="1"/>
  <c r="F1251" i="3"/>
  <c r="G1251" i="3" s="1"/>
  <c r="E1254" i="3"/>
  <c r="D1254" i="3" l="1"/>
  <c r="F1252" i="3"/>
  <c r="G1252" i="3" s="1"/>
  <c r="E1255" i="3"/>
  <c r="D1255" i="3" l="1"/>
  <c r="F1253" i="3"/>
  <c r="G1253" i="3" s="1"/>
  <c r="E1256" i="3"/>
  <c r="D1256" i="3" l="1"/>
  <c r="F1254" i="3"/>
  <c r="G1254" i="3" s="1"/>
  <c r="E1257" i="3"/>
  <c r="D1257" i="3" l="1"/>
  <c r="F1255" i="3"/>
  <c r="G1255" i="3" s="1"/>
  <c r="E1258" i="3"/>
  <c r="D1258" i="3" l="1"/>
  <c r="F1256" i="3"/>
  <c r="G1256" i="3" s="1"/>
  <c r="E1259" i="3"/>
  <c r="D1259" i="3" l="1"/>
  <c r="F1257" i="3"/>
  <c r="G1257" i="3" s="1"/>
  <c r="E1260" i="3"/>
  <c r="D1260" i="3" l="1"/>
  <c r="F1258" i="3"/>
  <c r="G1258" i="3" s="1"/>
  <c r="E1261" i="3"/>
  <c r="D1261" i="3" l="1"/>
  <c r="F1259" i="3"/>
  <c r="G1259" i="3" s="1"/>
  <c r="E1262" i="3"/>
  <c r="D1262" i="3" l="1"/>
  <c r="F1260" i="3"/>
  <c r="G1260" i="3" s="1"/>
  <c r="E1263" i="3"/>
  <c r="D1263" i="3" l="1"/>
  <c r="F1261" i="3"/>
  <c r="G1261" i="3" s="1"/>
  <c r="E1264" i="3"/>
  <c r="D1264" i="3" l="1"/>
  <c r="F1262" i="3"/>
  <c r="G1262" i="3" s="1"/>
  <c r="E1265" i="3"/>
  <c r="D1265" i="3" l="1"/>
  <c r="F1263" i="3"/>
  <c r="G1263" i="3" s="1"/>
  <c r="E1266" i="3"/>
  <c r="D1266" i="3" l="1"/>
  <c r="F1264" i="3"/>
  <c r="G1264" i="3" s="1"/>
  <c r="E1267" i="3"/>
  <c r="D1267" i="3" l="1"/>
  <c r="F1265" i="3"/>
  <c r="G1265" i="3" s="1"/>
  <c r="E1268" i="3"/>
  <c r="D1268" i="3" l="1"/>
  <c r="E1269" i="3" s="1"/>
  <c r="F1266" i="3"/>
  <c r="G1266" i="3" s="1"/>
  <c r="D1269" i="3" l="1"/>
  <c r="F1267" i="3"/>
  <c r="G1267" i="3" s="1"/>
  <c r="D1270" i="3" l="1"/>
  <c r="E1270" i="3"/>
  <c r="F1268" i="3"/>
  <c r="G1268" i="3" s="1"/>
  <c r="E1271" i="3"/>
  <c r="D1271" i="3" l="1"/>
  <c r="F1269" i="3"/>
  <c r="G1269" i="3" s="1"/>
  <c r="E1272" i="3"/>
  <c r="D1272" i="3" l="1"/>
  <c r="F1270" i="3"/>
  <c r="G1270" i="3" s="1"/>
  <c r="E1273" i="3"/>
  <c r="D1273" i="3" l="1"/>
  <c r="F1271" i="3"/>
  <c r="G1271" i="3" s="1"/>
  <c r="E1274" i="3"/>
  <c r="D1274" i="3" l="1"/>
  <c r="F1272" i="3"/>
  <c r="G1272" i="3" s="1"/>
  <c r="E1275" i="3"/>
  <c r="D1275" i="3" l="1"/>
  <c r="F1273" i="3"/>
  <c r="G1273" i="3" s="1"/>
  <c r="E1276" i="3"/>
  <c r="D1276" i="3" l="1"/>
  <c r="F1274" i="3"/>
  <c r="G1274" i="3" s="1"/>
  <c r="E1277" i="3"/>
  <c r="D1277" i="3" l="1"/>
  <c r="F1275" i="3"/>
  <c r="G1275" i="3" s="1"/>
  <c r="E1278" i="3"/>
  <c r="D1278" i="3" l="1"/>
  <c r="F1276" i="3"/>
  <c r="G1276" i="3" s="1"/>
  <c r="E1279" i="3"/>
  <c r="D1279" i="3" l="1"/>
  <c r="F1277" i="3"/>
  <c r="G1277" i="3" s="1"/>
  <c r="E1280" i="3"/>
  <c r="D1280" i="3" l="1"/>
  <c r="F1278" i="3"/>
  <c r="G1278" i="3" s="1"/>
  <c r="E1281" i="3"/>
  <c r="D1281" i="3" l="1"/>
  <c r="F1279" i="3"/>
  <c r="G1279" i="3" s="1"/>
  <c r="E1282" i="3"/>
  <c r="D1282" i="3" l="1"/>
  <c r="F1280" i="3"/>
  <c r="G1280" i="3" s="1"/>
  <c r="E1283" i="3"/>
  <c r="D1283" i="3" l="1"/>
  <c r="F1281" i="3"/>
  <c r="G1281" i="3" s="1"/>
  <c r="E1284" i="3"/>
  <c r="D1284" i="3" l="1"/>
  <c r="F1282" i="3"/>
  <c r="G1282" i="3" s="1"/>
  <c r="E1285" i="3"/>
  <c r="D1285" i="3" l="1"/>
  <c r="F1283" i="3"/>
  <c r="G1283" i="3" s="1"/>
  <c r="E1286" i="3"/>
  <c r="D1286" i="3" l="1"/>
  <c r="F1284" i="3"/>
  <c r="G1284" i="3" s="1"/>
  <c r="E1287" i="3"/>
  <c r="D1287" i="3" l="1"/>
  <c r="F1285" i="3"/>
  <c r="G1285" i="3" s="1"/>
  <c r="E1288" i="3"/>
  <c r="D1288" i="3" l="1"/>
  <c r="F1286" i="3"/>
  <c r="G1286" i="3" s="1"/>
  <c r="E1289" i="3"/>
  <c r="D1289" i="3" l="1"/>
  <c r="F1287" i="3"/>
  <c r="G1287" i="3" s="1"/>
  <c r="E1290" i="3"/>
  <c r="D1290" i="3" l="1"/>
  <c r="F1288" i="3"/>
  <c r="G1288" i="3" s="1"/>
  <c r="E1291" i="3"/>
  <c r="D1291" i="3" l="1"/>
  <c r="F1289" i="3"/>
  <c r="G1289" i="3" s="1"/>
  <c r="E1292" i="3"/>
  <c r="D1292" i="3" l="1"/>
  <c r="F1290" i="3"/>
  <c r="G1290" i="3" s="1"/>
  <c r="E1293" i="3"/>
  <c r="D1293" i="3" l="1"/>
  <c r="F1291" i="3"/>
  <c r="G1291" i="3" s="1"/>
  <c r="E1294" i="3"/>
  <c r="D1294" i="3" l="1"/>
  <c r="F1292" i="3"/>
  <c r="G1292" i="3" s="1"/>
  <c r="E1295" i="3"/>
  <c r="D1295" i="3" l="1"/>
  <c r="F1293" i="3"/>
  <c r="G1293" i="3" s="1"/>
  <c r="E1296" i="3"/>
  <c r="D1296" i="3" l="1"/>
  <c r="F1294" i="3"/>
  <c r="G1294" i="3" s="1"/>
  <c r="E1297" i="3"/>
  <c r="D1297" i="3" l="1"/>
  <c r="F1295" i="3"/>
  <c r="G1295" i="3" s="1"/>
  <c r="E1298" i="3"/>
  <c r="D1298" i="3" l="1"/>
  <c r="F1296" i="3"/>
  <c r="G1296" i="3" s="1"/>
  <c r="E1299" i="3"/>
  <c r="D1299" i="3" l="1"/>
  <c r="F1297" i="3"/>
  <c r="G1297" i="3" s="1"/>
  <c r="D1300" i="3" l="1"/>
  <c r="E1300" i="3"/>
  <c r="F1298" i="3"/>
  <c r="G1298" i="3" s="1"/>
  <c r="E1301" i="3"/>
  <c r="D1301" i="3" l="1"/>
  <c r="F1299" i="3"/>
  <c r="G1299" i="3" s="1"/>
  <c r="E1302" i="3" l="1"/>
  <c r="D1302" i="3"/>
  <c r="F1300" i="3"/>
  <c r="G1300" i="3" s="1"/>
  <c r="D1303" i="3" l="1"/>
  <c r="E1303" i="3"/>
  <c r="F1302" i="3"/>
  <c r="G1302" i="3" s="1"/>
  <c r="F1301" i="3"/>
  <c r="G1301" i="3" s="1"/>
  <c r="E1304" i="3" l="1"/>
  <c r="D1304" i="3"/>
  <c r="D1305" i="3" l="1"/>
  <c r="G1304" i="3"/>
  <c r="E1305" i="3"/>
  <c r="F1304" i="3"/>
  <c r="F1303" i="3"/>
  <c r="G1303" i="3" s="1"/>
  <c r="E1306" i="3" l="1"/>
  <c r="D1306" i="3"/>
  <c r="E1307" i="3" s="1"/>
  <c r="D1307" i="3" l="1"/>
  <c r="G1306" i="3"/>
  <c r="F1306" i="3"/>
  <c r="F1305" i="3"/>
  <c r="G1305" i="3" s="1"/>
  <c r="E1308" i="3"/>
  <c r="D1308" i="3" l="1"/>
  <c r="E1309" i="3"/>
  <c r="D1309" i="3" l="1"/>
  <c r="F1307" i="3"/>
  <c r="G1307" i="3" s="1"/>
  <c r="E1310" i="3" l="1"/>
  <c r="D1310" i="3"/>
  <c r="E1311" i="3" s="1"/>
  <c r="F1308" i="3"/>
  <c r="G1308" i="3" s="1"/>
  <c r="D1311" i="3" l="1"/>
  <c r="F1310" i="3"/>
  <c r="G1310" i="3" s="1"/>
  <c r="F1309" i="3"/>
  <c r="G1309" i="3" s="1"/>
  <c r="E1312" i="3"/>
  <c r="D1312" i="3" l="1"/>
  <c r="E1313" i="3"/>
  <c r="D1313" i="3" l="1"/>
  <c r="F1311" i="3"/>
  <c r="G1311" i="3" s="1"/>
  <c r="D1314" i="3" l="1"/>
  <c r="E1315" i="3" s="1"/>
  <c r="E1314" i="3"/>
  <c r="F1312" i="3"/>
  <c r="G1312" i="3" s="1"/>
  <c r="D1315" i="3" l="1"/>
  <c r="F1313" i="3"/>
  <c r="G1313" i="3" s="1"/>
  <c r="E1316" i="3"/>
  <c r="D1316" i="3" l="1"/>
  <c r="F1314" i="3"/>
  <c r="G1314" i="3" s="1"/>
  <c r="E1317" i="3"/>
  <c r="D1317" i="3" l="1"/>
  <c r="F1315" i="3"/>
  <c r="G1315" i="3" s="1"/>
  <c r="E1318" i="3"/>
  <c r="D1318" i="3" l="1"/>
  <c r="F1316" i="3"/>
  <c r="G1316" i="3" s="1"/>
  <c r="E1319" i="3"/>
  <c r="D1319" i="3" l="1"/>
  <c r="F1317" i="3"/>
  <c r="G1317" i="3" s="1"/>
  <c r="E1320" i="3"/>
  <c r="D1320" i="3" l="1"/>
  <c r="F1318" i="3"/>
  <c r="G1318" i="3" s="1"/>
  <c r="E1321" i="3"/>
  <c r="D1321" i="3" l="1"/>
  <c r="F1319" i="3"/>
  <c r="G1319" i="3" s="1"/>
  <c r="E1322" i="3"/>
  <c r="D1322" i="3" l="1"/>
  <c r="F1320" i="3"/>
  <c r="G1320" i="3" s="1"/>
  <c r="E1323" i="3"/>
  <c r="D1323" i="3" l="1"/>
  <c r="F1321" i="3"/>
  <c r="G1321" i="3" s="1"/>
  <c r="E1324" i="3"/>
  <c r="D1324" i="3" l="1"/>
  <c r="F1322" i="3"/>
  <c r="G1322" i="3" s="1"/>
  <c r="E1325" i="3"/>
  <c r="D1325" i="3" l="1"/>
  <c r="F1323" i="3"/>
  <c r="G1323" i="3" s="1"/>
  <c r="E1326" i="3"/>
  <c r="D1326" i="3" l="1"/>
  <c r="F1324" i="3"/>
  <c r="G1324" i="3" s="1"/>
  <c r="E1327" i="3"/>
  <c r="D1327" i="3" l="1"/>
  <c r="F1325" i="3"/>
  <c r="G1325" i="3" s="1"/>
  <c r="E1328" i="3"/>
  <c r="D1328" i="3" l="1"/>
  <c r="F1326" i="3"/>
  <c r="G1326" i="3" s="1"/>
  <c r="E1329" i="3"/>
  <c r="D1329" i="3" l="1"/>
  <c r="F1327" i="3"/>
  <c r="G1327" i="3" s="1"/>
  <c r="E1330" i="3"/>
  <c r="D1330" i="3" l="1"/>
  <c r="F1328" i="3"/>
  <c r="G1328" i="3" s="1"/>
  <c r="E1331" i="3"/>
  <c r="D1331" i="3" l="1"/>
  <c r="F1329" i="3"/>
  <c r="G1329" i="3" s="1"/>
  <c r="D1332" i="3" l="1"/>
  <c r="E1332" i="3"/>
  <c r="F1330" i="3"/>
  <c r="G1330" i="3" s="1"/>
  <c r="E1333" i="3"/>
  <c r="D1333" i="3" l="1"/>
  <c r="E1334" i="3" s="1"/>
  <c r="F1331" i="3"/>
  <c r="G1331" i="3" s="1"/>
  <c r="D1334" i="3" l="1"/>
  <c r="F1332" i="3"/>
  <c r="G1332" i="3" s="1"/>
  <c r="E1335" i="3"/>
  <c r="D1335" i="3" l="1"/>
  <c r="F1333" i="3"/>
  <c r="G1333" i="3" s="1"/>
  <c r="E1336" i="3"/>
  <c r="D1336" i="3" l="1"/>
  <c r="F1334" i="3"/>
  <c r="G1334" i="3" s="1"/>
  <c r="E1337" i="3"/>
  <c r="D1337" i="3" l="1"/>
  <c r="F1335" i="3"/>
  <c r="G1335" i="3" s="1"/>
  <c r="E1338" i="3"/>
  <c r="D1338" i="3" l="1"/>
  <c r="F1336" i="3"/>
  <c r="G1336" i="3" s="1"/>
  <c r="E1339" i="3"/>
  <c r="D1339" i="3" l="1"/>
  <c r="F1337" i="3"/>
  <c r="G1337" i="3" s="1"/>
  <c r="E1340" i="3"/>
  <c r="D1340" i="3" l="1"/>
  <c r="F1338" i="3"/>
  <c r="G1338" i="3" s="1"/>
  <c r="E1341" i="3"/>
  <c r="D1341" i="3" l="1"/>
  <c r="F1339" i="3"/>
  <c r="G1339" i="3" s="1"/>
  <c r="E1342" i="3"/>
  <c r="D1342" i="3" l="1"/>
  <c r="F1340" i="3"/>
  <c r="G1340" i="3" s="1"/>
  <c r="E1343" i="3"/>
  <c r="D1343" i="3" l="1"/>
  <c r="F1341" i="3"/>
  <c r="G1341" i="3" s="1"/>
  <c r="E1344" i="3"/>
  <c r="D1344" i="3" l="1"/>
  <c r="F1342" i="3"/>
  <c r="G1342" i="3" s="1"/>
  <c r="E1345" i="3"/>
  <c r="D1345" i="3" l="1"/>
  <c r="F1343" i="3"/>
  <c r="G1343" i="3" s="1"/>
  <c r="E1346" i="3"/>
  <c r="D1346" i="3" l="1"/>
  <c r="F1344" i="3"/>
  <c r="G1344" i="3" s="1"/>
  <c r="E1347" i="3" l="1"/>
  <c r="D1347" i="3"/>
  <c r="E1348" i="3" s="1"/>
  <c r="F1345" i="3"/>
  <c r="G1345" i="3" s="1"/>
  <c r="D1348" i="3" l="1"/>
  <c r="F1347" i="3" s="1"/>
  <c r="G1347" i="3"/>
  <c r="F1346" i="3"/>
  <c r="G1346" i="3" s="1"/>
  <c r="E1349" i="3" l="1"/>
  <c r="D1349" i="3"/>
  <c r="E1350" i="3"/>
  <c r="D1350" i="3" l="1"/>
  <c r="F1348" i="3"/>
  <c r="G1348" i="3" s="1"/>
  <c r="E1351" i="3"/>
  <c r="D1351" i="3" l="1"/>
  <c r="F1349" i="3"/>
  <c r="G1349" i="3" s="1"/>
  <c r="E1352" i="3"/>
  <c r="D1352" i="3" l="1"/>
  <c r="F1350" i="3"/>
  <c r="G1350" i="3" s="1"/>
  <c r="E1353" i="3"/>
  <c r="D1353" i="3" l="1"/>
  <c r="F1351" i="3"/>
  <c r="G1351" i="3" s="1"/>
  <c r="D1354" i="3" l="1"/>
  <c r="G1353" i="3"/>
  <c r="F1352" i="3"/>
  <c r="G1352" i="3" s="1"/>
  <c r="F1353" i="3"/>
  <c r="E1354" i="3"/>
  <c r="E1355" i="3"/>
  <c r="D1355" i="3" l="1"/>
  <c r="E1356" i="3"/>
  <c r="D1356" i="3" l="1"/>
  <c r="F1354" i="3"/>
  <c r="G1354" i="3" s="1"/>
  <c r="E1357" i="3" l="1"/>
  <c r="D1357" i="3"/>
  <c r="E1358" i="3" s="1"/>
  <c r="F1355" i="3"/>
  <c r="G1355" i="3" s="1"/>
  <c r="D1358" i="3" l="1"/>
  <c r="E1359" i="3" s="1"/>
  <c r="F1356" i="3"/>
  <c r="G1356" i="3" s="1"/>
  <c r="D1359" i="3" l="1"/>
  <c r="F1357" i="3"/>
  <c r="G1357" i="3" s="1"/>
  <c r="E1360" i="3"/>
  <c r="D1360" i="3" l="1"/>
  <c r="F1358" i="3"/>
  <c r="G1358" i="3" s="1"/>
  <c r="E1361" i="3"/>
  <c r="D1361" i="3" l="1"/>
  <c r="F1359" i="3"/>
  <c r="G1359" i="3" s="1"/>
  <c r="E1362" i="3"/>
  <c r="D1362" i="3" l="1"/>
  <c r="F1360" i="3"/>
  <c r="G1360" i="3" s="1"/>
  <c r="E1363" i="3"/>
  <c r="D1363" i="3" l="1"/>
  <c r="F1361" i="3"/>
  <c r="G1361" i="3" s="1"/>
  <c r="E1364" i="3"/>
  <c r="D1364" i="3" l="1"/>
  <c r="F1362" i="3"/>
  <c r="G1362" i="3" s="1"/>
  <c r="E1365" i="3"/>
  <c r="D1365" i="3" l="1"/>
  <c r="F1363" i="3"/>
  <c r="G1363" i="3" s="1"/>
  <c r="E1366" i="3"/>
  <c r="D1366" i="3" l="1"/>
  <c r="F1364" i="3"/>
  <c r="G1364" i="3" s="1"/>
  <c r="E1367" i="3"/>
  <c r="D1367" i="3" l="1"/>
  <c r="F1365" i="3"/>
  <c r="G1365" i="3" s="1"/>
  <c r="D1368" i="3" l="1"/>
  <c r="G1367" i="3"/>
  <c r="F1366" i="3"/>
  <c r="G1366" i="3" s="1"/>
  <c r="F1367" i="3"/>
  <c r="E1368" i="3"/>
  <c r="E1369" i="3"/>
  <c r="D1369" i="3" l="1"/>
  <c r="E1370" i="3"/>
  <c r="D1370" i="3" l="1"/>
  <c r="F1368" i="3"/>
  <c r="G1368" i="3" s="1"/>
  <c r="E1371" i="3"/>
  <c r="D1371" i="3" l="1"/>
  <c r="F1369" i="3"/>
  <c r="G1369" i="3" s="1"/>
  <c r="E1372" i="3"/>
  <c r="D1372" i="3" l="1"/>
  <c r="F1370" i="3"/>
  <c r="G1370" i="3" s="1"/>
  <c r="E1373" i="3"/>
  <c r="D1373" i="3" l="1"/>
  <c r="F1371" i="3"/>
  <c r="G1371" i="3" s="1"/>
  <c r="E1374" i="3"/>
  <c r="D1374" i="3" l="1"/>
  <c r="E1375" i="3" s="1"/>
  <c r="F1372" i="3"/>
  <c r="G1372" i="3" s="1"/>
  <c r="D1375" i="3" l="1"/>
  <c r="F1373" i="3"/>
  <c r="G1373" i="3" s="1"/>
  <c r="E1376" i="3"/>
  <c r="D1376" i="3" l="1"/>
  <c r="F1374" i="3"/>
  <c r="G1374" i="3" s="1"/>
  <c r="E1377" i="3"/>
  <c r="D1377" i="3" l="1"/>
  <c r="F1375" i="3"/>
  <c r="G1375" i="3" s="1"/>
  <c r="E1378" i="3"/>
  <c r="D1378" i="3" l="1"/>
  <c r="F1376" i="3"/>
  <c r="G1376" i="3" s="1"/>
  <c r="E1379" i="3"/>
  <c r="D1379" i="3" l="1"/>
  <c r="F1377" i="3"/>
  <c r="G1377" i="3" s="1"/>
  <c r="E1380" i="3"/>
  <c r="D1380" i="3" l="1"/>
  <c r="F1378" i="3"/>
  <c r="G1378" i="3" s="1"/>
  <c r="E1381" i="3"/>
  <c r="D1381" i="3" l="1"/>
  <c r="F1380" i="3" s="1"/>
  <c r="G1380" i="3"/>
  <c r="F1379" i="3"/>
  <c r="G1379" i="3" s="1"/>
  <c r="E1382" i="3" l="1"/>
  <c r="D1382" i="3"/>
  <c r="E1383" i="3"/>
  <c r="D1383" i="3" l="1"/>
  <c r="F1381" i="3"/>
  <c r="G1381" i="3" s="1"/>
  <c r="E1384" i="3"/>
  <c r="D1384" i="3" l="1"/>
  <c r="F1383" i="3" s="1"/>
  <c r="G1383" i="3"/>
  <c r="F1382" i="3"/>
  <c r="G1382" i="3" s="1"/>
  <c r="E1385" i="3" l="1"/>
  <c r="D1385" i="3"/>
  <c r="E1386" i="3"/>
  <c r="D1386" i="3" l="1"/>
  <c r="F1384" i="3"/>
  <c r="G1384" i="3" s="1"/>
  <c r="E1387" i="3"/>
  <c r="D1387" i="3" l="1"/>
  <c r="F1385" i="3"/>
  <c r="G1385" i="3" s="1"/>
  <c r="D1388" i="3" l="1"/>
  <c r="E1388" i="3"/>
  <c r="F1386" i="3"/>
  <c r="G1386" i="3" s="1"/>
  <c r="E1389" i="3"/>
  <c r="D1389" i="3" l="1"/>
  <c r="F1387" i="3"/>
  <c r="G1387" i="3" s="1"/>
  <c r="E1390" i="3"/>
  <c r="D1390" i="3" l="1"/>
  <c r="F1388" i="3"/>
  <c r="G1388" i="3" s="1"/>
  <c r="D1391" i="3" l="1"/>
  <c r="E1391" i="3"/>
  <c r="F1389" i="3"/>
  <c r="G1389" i="3" s="1"/>
  <c r="E1392" i="3"/>
  <c r="D1392" i="3" l="1"/>
  <c r="F1390" i="3"/>
  <c r="G1390" i="3" s="1"/>
  <c r="E1393" i="3" l="1"/>
  <c r="D1393" i="3"/>
  <c r="F1391" i="3"/>
  <c r="G1391" i="3" s="1"/>
  <c r="D1394" i="3" l="1"/>
  <c r="G1393" i="3"/>
  <c r="E1394" i="3"/>
  <c r="F1393" i="3"/>
  <c r="F1392" i="3"/>
  <c r="G1392" i="3" s="1"/>
  <c r="E1395" i="3"/>
  <c r="D1395" i="3" l="1"/>
  <c r="E1396" i="3"/>
  <c r="D1396" i="3" l="1"/>
  <c r="F1394" i="3"/>
  <c r="G1394" i="3" s="1"/>
  <c r="E1397" i="3"/>
  <c r="D1397" i="3" l="1"/>
  <c r="F1395" i="3"/>
  <c r="G1395" i="3" s="1"/>
  <c r="E1398" i="3"/>
  <c r="D1398" i="3" l="1"/>
  <c r="F1396" i="3"/>
  <c r="G1396" i="3" s="1"/>
  <c r="D1399" i="3" l="1"/>
  <c r="E1400" i="3" s="1"/>
  <c r="E1399" i="3"/>
  <c r="F1397" i="3"/>
  <c r="G1397" i="3" s="1"/>
  <c r="F1398" i="3" l="1"/>
  <c r="G1398" i="3" s="1"/>
  <c r="D1400" i="3"/>
  <c r="D1401" i="3" l="1"/>
  <c r="E1401" i="3"/>
  <c r="F1399" i="3"/>
  <c r="G1399" i="3" s="1"/>
  <c r="E1402" i="3"/>
  <c r="D1402" i="3" l="1"/>
  <c r="F1400" i="3"/>
  <c r="G1400" i="3" s="1"/>
  <c r="E1403" i="3"/>
  <c r="D1403" i="3" l="1"/>
  <c r="F1401" i="3"/>
  <c r="G1401" i="3" s="1"/>
  <c r="E1404" i="3"/>
  <c r="D1404" i="3" l="1"/>
  <c r="F1402" i="3"/>
  <c r="G1402" i="3" s="1"/>
  <c r="E1405" i="3"/>
  <c r="D1405" i="3" l="1"/>
  <c r="F1403" i="3"/>
  <c r="G1403" i="3" s="1"/>
  <c r="E1406" i="3"/>
  <c r="D1406" i="3" l="1"/>
  <c r="F1404" i="3"/>
  <c r="G1404" i="3" s="1"/>
  <c r="E1407" i="3"/>
  <c r="D1407" i="3" l="1"/>
  <c r="F1405" i="3"/>
  <c r="G1405" i="3" s="1"/>
  <c r="E1408" i="3"/>
  <c r="D1408" i="3" l="1"/>
  <c r="F1406" i="3"/>
  <c r="G1406" i="3" s="1"/>
  <c r="D1409" i="3" l="1"/>
  <c r="E1409" i="3"/>
  <c r="F1407" i="3"/>
  <c r="G1407" i="3" s="1"/>
  <c r="E1410" i="3"/>
  <c r="D1410" i="3" l="1"/>
  <c r="F1408" i="3"/>
  <c r="G1408" i="3" s="1"/>
  <c r="E1411" i="3"/>
  <c r="D1411" i="3" l="1"/>
  <c r="F1409" i="3"/>
  <c r="G1409" i="3" s="1"/>
  <c r="E1412" i="3"/>
  <c r="D1412" i="3" l="1"/>
  <c r="F1410" i="3"/>
  <c r="G1410" i="3" s="1"/>
  <c r="E1413" i="3" l="1"/>
  <c r="D1413" i="3"/>
  <c r="E1414" i="3" s="1"/>
  <c r="F1411" i="3"/>
  <c r="G1411" i="3" s="1"/>
  <c r="D1414" i="3" l="1"/>
  <c r="F1413" i="3" s="1"/>
  <c r="G1413" i="3"/>
  <c r="F1412" i="3"/>
  <c r="G1412" i="3" s="1"/>
  <c r="E1415" i="3"/>
  <c r="D1415" i="3" l="1"/>
  <c r="E1416" i="3"/>
  <c r="D1416" i="3" l="1"/>
  <c r="F1414" i="3"/>
  <c r="G1414" i="3" s="1"/>
  <c r="D1417" i="3" l="1"/>
  <c r="E1417" i="3"/>
  <c r="F1415" i="3"/>
  <c r="G1415" i="3" s="1"/>
  <c r="E1418" i="3"/>
  <c r="D1418" i="3" l="1"/>
  <c r="F1416" i="3"/>
  <c r="G1416" i="3" s="1"/>
  <c r="D1419" i="3" l="1"/>
  <c r="E1419" i="3"/>
  <c r="F1417" i="3"/>
  <c r="G1417" i="3" s="1"/>
  <c r="E1420" i="3"/>
  <c r="D1420" i="3" l="1"/>
  <c r="F1418" i="3"/>
  <c r="G1418" i="3" s="1"/>
  <c r="E1421" i="3"/>
  <c r="D1421" i="3" l="1"/>
  <c r="F1419" i="3"/>
  <c r="G1419" i="3" s="1"/>
  <c r="E1422" i="3"/>
  <c r="D1422" i="3" l="1"/>
  <c r="F1420" i="3"/>
  <c r="G1420" i="3" s="1"/>
  <c r="E1423" i="3"/>
  <c r="D1423" i="3" l="1"/>
  <c r="F1421" i="3"/>
  <c r="G1421" i="3" s="1"/>
  <c r="E1424" i="3"/>
  <c r="D1424" i="3" l="1"/>
  <c r="F1422" i="3"/>
  <c r="G1422" i="3" s="1"/>
  <c r="E1425" i="3"/>
  <c r="D1425" i="3" l="1"/>
  <c r="F1423" i="3"/>
  <c r="G1423" i="3" s="1"/>
  <c r="E1426" i="3"/>
  <c r="D1426" i="3" l="1"/>
  <c r="F1424" i="3"/>
  <c r="G1424" i="3" s="1"/>
  <c r="E1427" i="3"/>
  <c r="D1427" i="3" l="1"/>
  <c r="E1428" i="3" s="1"/>
  <c r="F1425" i="3"/>
  <c r="G1425" i="3" s="1"/>
  <c r="D1428" i="3" l="1"/>
  <c r="F1426" i="3"/>
  <c r="G1426" i="3" s="1"/>
  <c r="E1429" i="3"/>
  <c r="D1429" i="3" l="1"/>
  <c r="F1427" i="3"/>
  <c r="G1427" i="3" s="1"/>
  <c r="E1430" i="3"/>
  <c r="D1430" i="3" l="1"/>
  <c r="F1428" i="3"/>
  <c r="G1428" i="3" s="1"/>
  <c r="E1431" i="3"/>
  <c r="D1431" i="3" l="1"/>
  <c r="F1429" i="3"/>
  <c r="G1429" i="3" s="1"/>
  <c r="E1432" i="3"/>
  <c r="D1432" i="3" l="1"/>
  <c r="F1430" i="3"/>
  <c r="G1430" i="3" s="1"/>
  <c r="E1433" i="3"/>
  <c r="D1433" i="3" l="1"/>
  <c r="F1431" i="3"/>
  <c r="G1431" i="3" s="1"/>
  <c r="D1434" i="3" l="1"/>
  <c r="E1434" i="3"/>
  <c r="F1432" i="3"/>
  <c r="G1432" i="3" s="1"/>
  <c r="E1435" i="3"/>
  <c r="D1435" i="3" l="1"/>
  <c r="F1433" i="3"/>
  <c r="G1433" i="3" s="1"/>
  <c r="E1436" i="3" l="1"/>
  <c r="D1436" i="3"/>
  <c r="E1437" i="3" s="1"/>
  <c r="F1434" i="3"/>
  <c r="G1434" i="3" s="1"/>
  <c r="D1437" i="3" l="1"/>
  <c r="E1438" i="3" s="1"/>
  <c r="F1435" i="3"/>
  <c r="G1435" i="3" s="1"/>
  <c r="F1436" i="3" l="1"/>
  <c r="G1436" i="3" s="1"/>
  <c r="D1438" i="3"/>
  <c r="D1439" i="3" l="1"/>
  <c r="G1438" i="3"/>
  <c r="E1439" i="3"/>
  <c r="F1437" i="3"/>
  <c r="G1437" i="3" s="1"/>
  <c r="F1438" i="3"/>
  <c r="E1440" i="3"/>
  <c r="D1440" i="3" l="1"/>
  <c r="E1441" i="3" s="1"/>
  <c r="D1441" i="3" l="1"/>
  <c r="F1439" i="3"/>
  <c r="G1439" i="3" s="1"/>
  <c r="D1442" i="3" l="1"/>
  <c r="E1442" i="3"/>
  <c r="F1440" i="3"/>
  <c r="G1440" i="3" s="1"/>
  <c r="E1443" i="3"/>
  <c r="D1443" i="3" l="1"/>
  <c r="F1442" i="3" s="1"/>
  <c r="G1442" i="3"/>
  <c r="F1441" i="3"/>
  <c r="G1441" i="3" s="1"/>
  <c r="E1444" i="3" l="1"/>
  <c r="D1444" i="3"/>
  <c r="E1445" i="3"/>
  <c r="D1445" i="3" l="1"/>
  <c r="E1446" i="3" s="1"/>
  <c r="F1443" i="3"/>
  <c r="G1443" i="3" s="1"/>
  <c r="D1446" i="3" l="1"/>
  <c r="F1444" i="3"/>
  <c r="G1444" i="3" s="1"/>
  <c r="E1447" i="3"/>
  <c r="D1447" i="3" l="1"/>
  <c r="E1448" i="3" s="1"/>
  <c r="F1445" i="3"/>
  <c r="G1445" i="3" s="1"/>
  <c r="D1448" i="3" l="1"/>
  <c r="F1446" i="3"/>
  <c r="G1446" i="3" s="1"/>
  <c r="E1449" i="3"/>
  <c r="D1449" i="3" l="1"/>
  <c r="F1447" i="3"/>
  <c r="G1447" i="3" s="1"/>
  <c r="E1450" i="3"/>
  <c r="D1450" i="3" l="1"/>
  <c r="F1448" i="3"/>
  <c r="G1448" i="3" s="1"/>
  <c r="E1451" i="3"/>
  <c r="D1451" i="3" l="1"/>
  <c r="F1449" i="3"/>
  <c r="G1449" i="3" s="1"/>
  <c r="E1452" i="3"/>
  <c r="D1452" i="3" l="1"/>
  <c r="F1450" i="3"/>
  <c r="G1450" i="3" s="1"/>
  <c r="E1453" i="3"/>
  <c r="D1453" i="3" l="1"/>
  <c r="F1451" i="3"/>
  <c r="G1451" i="3" s="1"/>
  <c r="E1454" i="3"/>
  <c r="D1454" i="3" l="1"/>
  <c r="F1452" i="3"/>
  <c r="G1452" i="3" s="1"/>
  <c r="E1455" i="3"/>
  <c r="D1455" i="3" l="1"/>
  <c r="F1453" i="3"/>
  <c r="G1453" i="3" s="1"/>
  <c r="E1456" i="3"/>
  <c r="D1456" i="3" l="1"/>
  <c r="F1454" i="3"/>
  <c r="G1454" i="3" s="1"/>
  <c r="E1457" i="3"/>
  <c r="D1457" i="3" l="1"/>
  <c r="E1458" i="3" s="1"/>
  <c r="F1455" i="3"/>
  <c r="G1455" i="3" s="1"/>
  <c r="D1458" i="3" l="1"/>
  <c r="F1456" i="3"/>
  <c r="G1456" i="3" s="1"/>
  <c r="E1459" i="3"/>
  <c r="D1459" i="3" l="1"/>
  <c r="F1457" i="3"/>
  <c r="G1457" i="3" s="1"/>
  <c r="E1460" i="3"/>
  <c r="D1460" i="3" l="1"/>
  <c r="F1458" i="3"/>
  <c r="G1458" i="3" s="1"/>
  <c r="E1461" i="3"/>
  <c r="D1461" i="3" l="1"/>
  <c r="E1462" i="3" s="1"/>
  <c r="F1459" i="3"/>
  <c r="G1459" i="3" s="1"/>
  <c r="D1462" i="3" l="1"/>
  <c r="F1460" i="3"/>
  <c r="G1460" i="3" s="1"/>
  <c r="E1463" i="3"/>
  <c r="D1463" i="3" l="1"/>
  <c r="E1464" i="3" s="1"/>
  <c r="F1461" i="3"/>
  <c r="G1461" i="3" s="1"/>
  <c r="D1464" i="3" l="1"/>
  <c r="F1462" i="3"/>
  <c r="G1462" i="3" s="1"/>
  <c r="E1465" i="3"/>
  <c r="D1465" i="3" l="1"/>
  <c r="F1463" i="3"/>
  <c r="G1463" i="3" s="1"/>
  <c r="E1466" i="3"/>
  <c r="D1466" i="3" l="1"/>
  <c r="F1464" i="3"/>
  <c r="G1464" i="3" s="1"/>
  <c r="E1467" i="3"/>
  <c r="D1467" i="3" l="1"/>
  <c r="E1468" i="3" s="1"/>
  <c r="F1465" i="3"/>
  <c r="G1465" i="3" s="1"/>
  <c r="D1468" i="3" l="1"/>
  <c r="F1466" i="3"/>
  <c r="G1466" i="3" s="1"/>
  <c r="E1469" i="3"/>
  <c r="D1469" i="3" l="1"/>
  <c r="F1467" i="3"/>
  <c r="G1467" i="3" s="1"/>
  <c r="E1470" i="3"/>
  <c r="D1470" i="3" l="1"/>
  <c r="F1468" i="3"/>
  <c r="G1468" i="3" s="1"/>
  <c r="E1471" i="3"/>
  <c r="D1471" i="3" l="1"/>
  <c r="F1469" i="3"/>
  <c r="G1469" i="3" s="1"/>
  <c r="E1472" i="3"/>
  <c r="D1472" i="3" l="1"/>
  <c r="F1470" i="3"/>
  <c r="G1470" i="3" s="1"/>
  <c r="E1473" i="3"/>
  <c r="D1473" i="3" l="1"/>
  <c r="F1471" i="3"/>
  <c r="G1471" i="3" s="1"/>
  <c r="E1474" i="3"/>
  <c r="D1474" i="3" l="1"/>
  <c r="F1472" i="3"/>
  <c r="G1472" i="3" s="1"/>
  <c r="E1475" i="3"/>
  <c r="D1475" i="3" l="1"/>
  <c r="F1473" i="3"/>
  <c r="G1473" i="3" s="1"/>
  <c r="E1476" i="3"/>
  <c r="D1476" i="3" l="1"/>
  <c r="F1474" i="3"/>
  <c r="G1474" i="3" s="1"/>
  <c r="E1477" i="3"/>
  <c r="D1477" i="3" l="1"/>
  <c r="F1475" i="3"/>
  <c r="G1475" i="3" s="1"/>
  <c r="E1478" i="3"/>
  <c r="D1478" i="3" l="1"/>
  <c r="F1476" i="3"/>
  <c r="G1476" i="3" s="1"/>
  <c r="E1479" i="3"/>
  <c r="D1479" i="3" l="1"/>
  <c r="F1477" i="3"/>
  <c r="G1477" i="3" s="1"/>
  <c r="E1480" i="3"/>
  <c r="D1480" i="3" l="1"/>
  <c r="F1478" i="3"/>
  <c r="G1478" i="3" s="1"/>
  <c r="E1481" i="3"/>
  <c r="D1481" i="3" l="1"/>
  <c r="E1482" i="3" s="1"/>
  <c r="F1479" i="3"/>
  <c r="G1479" i="3" s="1"/>
  <c r="D1482" i="3" l="1"/>
  <c r="E1483" i="3" s="1"/>
  <c r="F1480" i="3"/>
  <c r="G1480" i="3" s="1"/>
  <c r="D1483" i="3" l="1"/>
  <c r="E1484" i="3" s="1"/>
  <c r="F1481" i="3"/>
  <c r="G1481" i="3" s="1"/>
  <c r="D1484" i="3" l="1"/>
  <c r="F1482" i="3"/>
  <c r="G1482" i="3" s="1"/>
  <c r="E1485" i="3"/>
  <c r="D1485" i="3" l="1"/>
  <c r="F1483" i="3"/>
  <c r="G1483" i="3" s="1"/>
  <c r="E1486" i="3"/>
  <c r="D1486" i="3" l="1"/>
  <c r="E1487" i="3" s="1"/>
  <c r="F1484" i="3"/>
  <c r="G1484" i="3" s="1"/>
  <c r="D1487" i="3" l="1"/>
  <c r="E1488" i="3" s="1"/>
  <c r="F1485" i="3"/>
  <c r="G1485" i="3" s="1"/>
  <c r="D1488" i="3" l="1"/>
  <c r="F1486" i="3"/>
  <c r="G1486" i="3" s="1"/>
  <c r="E1489" i="3"/>
  <c r="D1489" i="3" l="1"/>
  <c r="E1490" i="3" s="1"/>
  <c r="F1487" i="3"/>
  <c r="G1487" i="3" s="1"/>
  <c r="D1490" i="3" l="1"/>
  <c r="E1491" i="3" s="1"/>
  <c r="F1488" i="3"/>
  <c r="G1488" i="3" s="1"/>
  <c r="D1491" i="3" l="1"/>
  <c r="F1489" i="3"/>
  <c r="G1489" i="3" s="1"/>
  <c r="D1492" i="3" l="1"/>
  <c r="E1493" i="3" s="1"/>
  <c r="E1492" i="3"/>
  <c r="F1490" i="3"/>
  <c r="G1490" i="3" s="1"/>
  <c r="D1493" i="3" l="1"/>
  <c r="E1494" i="3" s="1"/>
  <c r="F1491" i="3"/>
  <c r="G1491" i="3" s="1"/>
  <c r="D1494" i="3" l="1"/>
  <c r="F1492" i="3"/>
  <c r="G1492" i="3" s="1"/>
  <c r="E1495" i="3"/>
  <c r="D1495" i="3" l="1"/>
  <c r="F1493" i="3"/>
  <c r="G1493" i="3" s="1"/>
  <c r="E1496" i="3"/>
  <c r="D1496" i="3" l="1"/>
  <c r="F1494" i="3"/>
  <c r="G1494" i="3" s="1"/>
  <c r="E1497" i="3"/>
  <c r="D1497" i="3" l="1"/>
  <c r="F1495" i="3"/>
  <c r="G1495" i="3" s="1"/>
  <c r="E1498" i="3"/>
  <c r="D1498" i="3" l="1"/>
  <c r="F1496" i="3"/>
  <c r="G1496" i="3" s="1"/>
  <c r="E1499" i="3"/>
  <c r="D1499" i="3" l="1"/>
  <c r="F1497" i="3"/>
  <c r="G1497" i="3" s="1"/>
  <c r="E1500" i="3"/>
  <c r="D1500" i="3" l="1"/>
  <c r="F1498" i="3"/>
  <c r="G1498" i="3" s="1"/>
  <c r="E1501" i="3"/>
  <c r="D1501" i="3" l="1"/>
  <c r="F1499" i="3"/>
  <c r="G1499" i="3" s="1"/>
  <c r="E1502" i="3"/>
  <c r="D1502" i="3" l="1"/>
  <c r="F1500" i="3"/>
  <c r="G1500" i="3" s="1"/>
  <c r="E1503" i="3"/>
  <c r="D1503" i="3" l="1"/>
  <c r="F1501" i="3"/>
  <c r="G1501" i="3" s="1"/>
  <c r="E1504" i="3"/>
  <c r="D1504" i="3" l="1"/>
  <c r="F1502" i="3"/>
  <c r="G1502" i="3" s="1"/>
  <c r="E1505" i="3"/>
  <c r="D1505" i="3" l="1"/>
  <c r="E1506" i="3" s="1"/>
  <c r="F1503" i="3"/>
  <c r="G1503" i="3" s="1"/>
  <c r="D1506" i="3" l="1"/>
  <c r="F1504" i="3"/>
  <c r="G1504" i="3" s="1"/>
  <c r="E1507" i="3"/>
  <c r="D1507" i="3" l="1"/>
  <c r="G1506" i="3"/>
  <c r="F1505" i="3"/>
  <c r="G1505" i="3" s="1"/>
  <c r="F1506" i="3"/>
  <c r="E1508" i="3"/>
  <c r="D1508" i="3" l="1"/>
  <c r="E1509" i="3" s="1"/>
  <c r="D1509" i="3" l="1"/>
  <c r="F1507" i="3"/>
  <c r="G1507" i="3" s="1"/>
  <c r="E1510" i="3"/>
  <c r="D1510" i="3" l="1"/>
  <c r="E1511" i="3" s="1"/>
  <c r="F1508" i="3"/>
  <c r="G1508" i="3" s="1"/>
  <c r="D1511" i="3" l="1"/>
  <c r="E1512" i="3" s="1"/>
  <c r="F1509" i="3"/>
  <c r="G1509" i="3" s="1"/>
  <c r="D1512" i="3" l="1"/>
  <c r="F1510" i="3"/>
  <c r="G1510" i="3" s="1"/>
  <c r="E1513" i="3"/>
  <c r="D1513" i="3" l="1"/>
  <c r="E1514" i="3" s="1"/>
  <c r="F1511" i="3"/>
  <c r="G1511" i="3" s="1"/>
  <c r="D1514" i="3" l="1"/>
  <c r="E1515" i="3" s="1"/>
  <c r="F1512" i="3"/>
  <c r="G1512" i="3" s="1"/>
  <c r="D1515" i="3" l="1"/>
  <c r="F1513" i="3"/>
  <c r="G1513" i="3" s="1"/>
  <c r="E1516" i="3"/>
  <c r="D1516" i="3" l="1"/>
  <c r="E1517" i="3" s="1"/>
  <c r="F1514" i="3"/>
  <c r="G1514" i="3" s="1"/>
  <c r="D1517" i="3" l="1"/>
  <c r="E1518" i="3" s="1"/>
  <c r="F1515" i="3"/>
  <c r="G1515" i="3" s="1"/>
  <c r="D1518" i="3" l="1"/>
  <c r="F1516" i="3"/>
  <c r="G1516" i="3" s="1"/>
  <c r="E1519" i="3"/>
  <c r="D1519" i="3" l="1"/>
  <c r="E1520" i="3" s="1"/>
  <c r="F1517" i="3"/>
  <c r="G1517" i="3" s="1"/>
  <c r="D1520" i="3" l="1"/>
  <c r="F1518" i="3"/>
  <c r="G1518" i="3" s="1"/>
  <c r="E1521" i="3"/>
  <c r="D1521" i="3" l="1"/>
  <c r="E1522" i="3" s="1"/>
  <c r="F1519" i="3"/>
  <c r="G1519" i="3" s="1"/>
  <c r="D1522" i="3" l="1"/>
  <c r="F1520" i="3"/>
  <c r="G1520" i="3" s="1"/>
  <c r="E1523" i="3"/>
  <c r="D1523" i="3" l="1"/>
  <c r="F1521" i="3"/>
  <c r="G1521" i="3" s="1"/>
  <c r="E1524" i="3"/>
  <c r="D1524" i="3" l="1"/>
  <c r="F1522" i="3"/>
  <c r="G1522" i="3" s="1"/>
  <c r="E1525" i="3"/>
  <c r="D1525" i="3" l="1"/>
  <c r="F1523" i="3"/>
  <c r="G1523" i="3" s="1"/>
  <c r="E1526" i="3"/>
  <c r="D1526" i="3" l="1"/>
  <c r="F1524" i="3"/>
  <c r="G1524" i="3" s="1"/>
  <c r="E1527" i="3"/>
  <c r="D1527" i="3" l="1"/>
  <c r="F1525" i="3"/>
  <c r="G1525" i="3" s="1"/>
  <c r="E1528" i="3"/>
  <c r="D1528" i="3" l="1"/>
  <c r="F1526" i="3"/>
  <c r="G1526" i="3" s="1"/>
  <c r="E1529" i="3"/>
  <c r="D1529" i="3" l="1"/>
  <c r="F1527" i="3"/>
  <c r="G1527" i="3" s="1"/>
  <c r="E1530" i="3"/>
  <c r="D1530" i="3" l="1"/>
  <c r="F1528" i="3"/>
  <c r="G1528" i="3" s="1"/>
  <c r="E1531" i="3"/>
  <c r="D1531" i="3" l="1"/>
  <c r="E1532" i="3" s="1"/>
  <c r="F1529" i="3"/>
  <c r="G1529" i="3" s="1"/>
  <c r="D1532" i="3" l="1"/>
  <c r="F1530" i="3"/>
  <c r="G1530" i="3" s="1"/>
  <c r="E1533" i="3"/>
  <c r="D1533" i="3" l="1"/>
  <c r="F1531" i="3"/>
  <c r="G1531" i="3" s="1"/>
  <c r="E1534" i="3"/>
  <c r="D1534" i="3" l="1"/>
  <c r="F1532" i="3"/>
  <c r="G1532" i="3" s="1"/>
  <c r="E1535" i="3"/>
  <c r="D1535" i="3" l="1"/>
  <c r="F1533" i="3"/>
  <c r="G1533" i="3" s="1"/>
  <c r="E1536" i="3"/>
  <c r="D1536" i="3" l="1"/>
  <c r="E1537" i="3" s="1"/>
  <c r="F1534" i="3"/>
  <c r="G1534" i="3" s="1"/>
  <c r="D1537" i="3" l="1"/>
  <c r="F1535" i="3"/>
  <c r="G1535" i="3" s="1"/>
  <c r="E1538" i="3"/>
  <c r="D1538" i="3" l="1"/>
  <c r="E1539" i="3" s="1"/>
  <c r="F1536" i="3"/>
  <c r="G1536" i="3" s="1"/>
  <c r="D1539" i="3" l="1"/>
  <c r="F1537" i="3"/>
  <c r="G1537" i="3" s="1"/>
  <c r="E1540" i="3"/>
  <c r="D1540" i="3" l="1"/>
  <c r="F1538" i="3"/>
  <c r="G1538" i="3" s="1"/>
  <c r="E1541" i="3"/>
  <c r="D1541" i="3" l="1"/>
  <c r="E1542" i="3" s="1"/>
  <c r="F1539" i="3"/>
  <c r="G1539" i="3" s="1"/>
  <c r="D1542" i="3" l="1"/>
  <c r="F1540" i="3"/>
  <c r="G1540" i="3" s="1"/>
  <c r="E1543" i="3" l="1"/>
  <c r="D1543" i="3"/>
  <c r="E1544" i="3" s="1"/>
  <c r="F1541" i="3"/>
  <c r="G1541" i="3" s="1"/>
  <c r="D1544" i="3" l="1"/>
  <c r="F1542" i="3"/>
  <c r="G1542" i="3" s="1"/>
  <c r="E1545" i="3" l="1"/>
  <c r="D1545" i="3"/>
  <c r="E1546" i="3" s="1"/>
  <c r="F1543" i="3"/>
  <c r="G1543" i="3" s="1"/>
  <c r="D1546" i="3" l="1"/>
  <c r="G1545" i="3"/>
  <c r="F1545" i="3"/>
  <c r="F1544" i="3"/>
  <c r="G1544" i="3" s="1"/>
  <c r="E1547" i="3"/>
  <c r="D1547" i="3" l="1"/>
  <c r="E1548" i="3"/>
  <c r="D1548" i="3" l="1"/>
  <c r="F1546" i="3"/>
  <c r="G1546" i="3" s="1"/>
  <c r="E1549" i="3"/>
  <c r="D1549" i="3" l="1"/>
  <c r="F1547" i="3"/>
  <c r="G1547" i="3" s="1"/>
  <c r="E1550" i="3"/>
  <c r="D1550" i="3" l="1"/>
  <c r="F1548" i="3"/>
  <c r="G1548" i="3" s="1"/>
  <c r="E1551" i="3"/>
  <c r="D1551" i="3" l="1"/>
  <c r="F1549" i="3"/>
  <c r="G1549" i="3" s="1"/>
  <c r="E1552" i="3"/>
  <c r="D1552" i="3" l="1"/>
  <c r="F1550" i="3"/>
  <c r="G1550" i="3" s="1"/>
  <c r="E1553" i="3"/>
  <c r="D1553" i="3" l="1"/>
  <c r="F1551" i="3"/>
  <c r="G1551" i="3" s="1"/>
  <c r="E1554" i="3"/>
  <c r="D1554" i="3" l="1"/>
  <c r="F1552" i="3"/>
  <c r="G1552" i="3" s="1"/>
  <c r="E1555" i="3"/>
  <c r="D1555" i="3" l="1"/>
  <c r="E1556" i="3" s="1"/>
  <c r="F1553" i="3"/>
  <c r="G1553" i="3" s="1"/>
  <c r="D1556" i="3" l="1"/>
  <c r="F1554" i="3"/>
  <c r="G1554" i="3" s="1"/>
  <c r="E1557" i="3"/>
  <c r="D1557" i="3" l="1"/>
  <c r="F1555" i="3"/>
  <c r="G1555" i="3" s="1"/>
  <c r="E1558" i="3"/>
  <c r="D1558" i="3" l="1"/>
  <c r="F1556" i="3"/>
  <c r="G1556" i="3" s="1"/>
  <c r="E1559" i="3"/>
  <c r="D1559" i="3" l="1"/>
  <c r="F1557" i="3"/>
  <c r="G1557" i="3" s="1"/>
  <c r="E1560" i="3"/>
  <c r="D1560" i="3" l="1"/>
  <c r="F1558" i="3"/>
  <c r="G1558" i="3" s="1"/>
  <c r="E1561" i="3"/>
  <c r="D1561" i="3" l="1"/>
  <c r="F1559" i="3"/>
  <c r="G1559" i="3" s="1"/>
  <c r="E1562" i="3" l="1"/>
  <c r="D1562" i="3"/>
  <c r="D1563" i="3" s="1"/>
  <c r="F1560" i="3"/>
  <c r="G1560" i="3" s="1"/>
  <c r="F1562" i="3" l="1"/>
  <c r="G1562" i="3" s="1"/>
  <c r="F1561" i="3"/>
  <c r="G1561" i="3" s="1"/>
</calcChain>
</file>

<file path=xl/sharedStrings.xml><?xml version="1.0" encoding="utf-8"?>
<sst xmlns="http://schemas.openxmlformats.org/spreadsheetml/2006/main" count="80" uniqueCount="65">
  <si>
    <t>mass</t>
  </si>
  <si>
    <t>EI</t>
  </si>
  <si>
    <t>kg</t>
  </si>
  <si>
    <t>m</t>
  </si>
  <si>
    <t>Nm^2</t>
  </si>
  <si>
    <t>N/m</t>
  </si>
  <si>
    <t>t</t>
  </si>
  <si>
    <t>∆t</t>
  </si>
  <si>
    <t>∆2t</t>
  </si>
  <si>
    <t>∆3t</t>
  </si>
  <si>
    <t>∆4t</t>
  </si>
  <si>
    <t>∆5t</t>
  </si>
  <si>
    <t>∆6t</t>
  </si>
  <si>
    <t>∆7t</t>
  </si>
  <si>
    <t>∆8t</t>
  </si>
  <si>
    <t>time</t>
  </si>
  <si>
    <t>∆0</t>
  </si>
  <si>
    <t>∆-t</t>
  </si>
  <si>
    <t>∆9t</t>
  </si>
  <si>
    <t>R-(ext-force)</t>
  </si>
  <si>
    <t>∆10t</t>
  </si>
  <si>
    <t>∆11t</t>
  </si>
  <si>
    <t>∆12t</t>
  </si>
  <si>
    <t>∆13t</t>
  </si>
  <si>
    <t>∆14t</t>
  </si>
  <si>
    <t>∆15t</t>
  </si>
  <si>
    <t>∆16t</t>
  </si>
  <si>
    <t>∆17t</t>
  </si>
  <si>
    <t>∆18t</t>
  </si>
  <si>
    <t>∆19t</t>
  </si>
  <si>
    <t>∆20t</t>
  </si>
  <si>
    <t>Initial Force at time 0 (Po)</t>
  </si>
  <si>
    <t>Initial time at Force 0 (to)</t>
  </si>
  <si>
    <t>Slope(Po/to)</t>
  </si>
  <si>
    <t>Stiffness(K)</t>
  </si>
  <si>
    <t>Displacement at time 0 - X(0)</t>
  </si>
  <si>
    <t>Velocity at time 0 - X1(0)</t>
  </si>
  <si>
    <t>Acceleration at time 0 - Xii(0)</t>
  </si>
  <si>
    <t>Damping - ©</t>
  </si>
  <si>
    <t xml:space="preserve"> Displacement at time -∆t - X(-∆t)</t>
  </si>
  <si>
    <t>length of beam</t>
  </si>
  <si>
    <t>Coefficients</t>
  </si>
  <si>
    <t>Elastic force(R2)</t>
  </si>
  <si>
    <t>Inertia force(R3)</t>
  </si>
  <si>
    <t>Eff. External force (R1)</t>
  </si>
  <si>
    <t>Time</t>
  </si>
  <si>
    <t>Force</t>
  </si>
  <si>
    <t>Xi(t)</t>
  </si>
  <si>
    <t>k</t>
  </si>
  <si>
    <t>c</t>
  </si>
  <si>
    <t>x(t)</t>
  </si>
  <si>
    <t>x(-t)</t>
  </si>
  <si>
    <t>Displacement</t>
  </si>
  <si>
    <t xml:space="preserve">Velocity </t>
  </si>
  <si>
    <t>Load Cases</t>
  </si>
  <si>
    <t>constant</t>
  </si>
  <si>
    <t>xii(t)</t>
  </si>
  <si>
    <t xml:space="preserve"> </t>
  </si>
  <si>
    <t>varying</t>
  </si>
  <si>
    <t>Velocity</t>
  </si>
  <si>
    <t>Acceleration</t>
  </si>
  <si>
    <t>DATA ENTRY</t>
  </si>
  <si>
    <t>GRAPHS</t>
  </si>
  <si>
    <t>Ground Acceleration</t>
  </si>
  <si>
    <t xml:space="preserve">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</si>
</sst>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0"/>
      <color rgb="FF000000"/>
      <name val="Arial Unicode MS"/>
      <family val="2"/>
    </font>
    <font>
      <b/>
      <sz val="12"/>
      <color theme="1"/>
      <name val="Arial"/>
      <family val="2"/>
    </font>
    <font>
      <b/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1" fillId="0" borderId="1" xfId="0" applyFont="1" applyBorder="1"/>
    <xf numFmtId="0" fontId="0" fillId="0" borderId="1" xfId="0" applyFont="1" applyBorder="1"/>
    <xf numFmtId="0" fontId="0" fillId="0" borderId="1" xfId="0" applyFont="1" applyBorder="1" applyAlignment="1">
      <alignment wrapText="1"/>
    </xf>
    <xf numFmtId="0" fontId="2" fillId="0" borderId="1" xfId="0" applyFont="1" applyBorder="1"/>
    <xf numFmtId="2" fontId="0" fillId="0" borderId="1" xfId="0" applyNumberFormat="1" applyBorder="1" applyAlignment="1"/>
    <xf numFmtId="0" fontId="0" fillId="2" borderId="0" xfId="0" applyFill="1" applyBorder="1" applyAlignment="1"/>
    <xf numFmtId="0" fontId="4" fillId="2" borderId="0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vertical="center"/>
    </xf>
    <xf numFmtId="0" fontId="0" fillId="2" borderId="3" xfId="0" applyFill="1" applyBorder="1" applyAlignment="1"/>
    <xf numFmtId="0" fontId="0" fillId="3" borderId="1" xfId="0" applyFill="1" applyBorder="1"/>
    <xf numFmtId="0" fontId="5" fillId="3" borderId="0" xfId="0" applyFont="1" applyFill="1" applyBorder="1" applyAlignment="1">
      <alignment horizontal="center" vertical="center" wrapText="1"/>
    </xf>
    <xf numFmtId="0" fontId="4" fillId="0" borderId="8" xfId="0" applyFont="1" applyBorder="1" applyAlignment="1">
      <alignment horizontal="center"/>
    </xf>
    <xf numFmtId="0" fontId="4" fillId="0" borderId="0" xfId="0" applyFont="1" applyAlignment="1">
      <alignment horizontal="center" vertical="center" wrapText="1"/>
    </xf>
    <xf numFmtId="0" fontId="4" fillId="0" borderId="8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CA">
                <a:latin typeface="Arial" panose="020B0604020202020204" pitchFamily="34" charset="0"/>
                <a:cs typeface="Arial" panose="020B0604020202020204" pitchFamily="34" charset="0"/>
              </a:rPr>
              <a:t>Load Function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GH"/>
        </a:p>
      </c:txPr>
    </c:title>
    <c:autoTitleDeleted val="0"/>
    <c:plotArea>
      <c:layout>
        <c:manualLayout>
          <c:layoutTarget val="inner"/>
          <c:xMode val="edge"/>
          <c:yMode val="edge"/>
          <c:x val="0.1327738093063193"/>
          <c:y val="0.18580246913580248"/>
          <c:w val="0.83542417986614781"/>
          <c:h val="0.63396131039175663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1.4020866439314134E-2"/>
                  <c:y val="-0.202572178477690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GH"/>
                </a:p>
              </c:txPr>
            </c:trendlineLbl>
          </c:trendline>
          <c:xVal>
            <c:numRef>
              <c:f>'CENTRAL DIFFERENCE '!$M$16:$M$17</c:f>
              <c:numCache>
                <c:formatCode>General</c:formatCode>
                <c:ptCount val="2"/>
                <c:pt idx="0">
                  <c:v>0</c:v>
                </c:pt>
                <c:pt idx="1">
                  <c:v>0.2</c:v>
                </c:pt>
              </c:numCache>
            </c:numRef>
          </c:xVal>
          <c:yVal>
            <c:numRef>
              <c:f>'CENTRAL DIFFERENCE '!$N$16:$N$17</c:f>
              <c:numCache>
                <c:formatCode>General</c:formatCode>
                <c:ptCount val="2"/>
                <c:pt idx="0">
                  <c:v>45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3B4-43DE-8259-E3FE2A16D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9218272"/>
        <c:axId val="619218600"/>
      </c:scatterChart>
      <c:valAx>
        <c:axId val="619218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GH"/>
          </a:p>
        </c:txPr>
        <c:crossAx val="619218600"/>
        <c:crosses val="autoZero"/>
        <c:crossBetween val="midCat"/>
      </c:valAx>
      <c:valAx>
        <c:axId val="619218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GH"/>
          </a:p>
        </c:txPr>
        <c:crossAx val="6192182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gradFill>
        <a:gsLst>
          <a:gs pos="0">
            <a:schemeClr val="accent1">
              <a:lumMod val="5000"/>
              <a:lumOff val="95000"/>
            </a:schemeClr>
          </a:gs>
          <a:gs pos="74000">
            <a:schemeClr val="accent1">
              <a:lumMod val="45000"/>
              <a:lumOff val="55000"/>
            </a:schemeClr>
          </a:gs>
          <a:gs pos="83000">
            <a:schemeClr val="accent1">
              <a:lumMod val="45000"/>
              <a:lumOff val="55000"/>
            </a:schemeClr>
          </a:gs>
          <a:gs pos="100000">
            <a:schemeClr val="accent1">
              <a:lumMod val="30000"/>
              <a:lumOff val="70000"/>
            </a:schemeClr>
          </a:gs>
        </a:gsLst>
        <a:lin ang="5400000" scaled="1"/>
      </a:gradFill>
      <a:round/>
    </a:ln>
    <a:effectLst/>
  </c:spPr>
  <c:txPr>
    <a:bodyPr/>
    <a:lstStyle/>
    <a:p>
      <a:pPr>
        <a:defRPr/>
      </a:pPr>
      <a:endParaRPr lang="en-GH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Displacement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'CENTRAL DIFFERENCE '!$B$3:$B$83</c:f>
              <c:numCache>
                <c:formatCode>General</c:formatCode>
                <c:ptCount val="8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0.60000000000000009</c:v>
                </c:pt>
                <c:pt idx="7">
                  <c:v>0.70000000000000007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1.2000000000000002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</c:v>
                </c:pt>
                <c:pt idx="16">
                  <c:v>1.6</c:v>
                </c:pt>
                <c:pt idx="17">
                  <c:v>1.7000000000000002</c:v>
                </c:pt>
                <c:pt idx="18">
                  <c:v>1.8</c:v>
                </c:pt>
                <c:pt idx="19">
                  <c:v>1.9000000000000001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2.3000000000000003</c:v>
                </c:pt>
                <c:pt idx="24">
                  <c:v>2.4000000000000004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2.8000000000000003</c:v>
                </c:pt>
                <c:pt idx="29">
                  <c:v>2.9000000000000004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3.3000000000000003</c:v>
                </c:pt>
                <c:pt idx="34">
                  <c:v>3.4000000000000004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3.8000000000000003</c:v>
                </c:pt>
                <c:pt idx="39">
                  <c:v>3.9000000000000004</c:v>
                </c:pt>
                <c:pt idx="40">
                  <c:v>4</c:v>
                </c:pt>
                <c:pt idx="41">
                  <c:v>4.1000000000000005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4.6000000000000005</c:v>
                </c:pt>
                <c:pt idx="47">
                  <c:v>4.7</c:v>
                </c:pt>
                <c:pt idx="48">
                  <c:v>4.8000000000000007</c:v>
                </c:pt>
                <c:pt idx="49">
                  <c:v>4.9000000000000004</c:v>
                </c:pt>
                <c:pt idx="50">
                  <c:v>5</c:v>
                </c:pt>
                <c:pt idx="51">
                  <c:v>5.1000000000000005</c:v>
                </c:pt>
                <c:pt idx="52">
                  <c:v>5.2</c:v>
                </c:pt>
                <c:pt idx="53">
                  <c:v>5.3000000000000007</c:v>
                </c:pt>
                <c:pt idx="54">
                  <c:v>5.4</c:v>
                </c:pt>
                <c:pt idx="55">
                  <c:v>5.5</c:v>
                </c:pt>
                <c:pt idx="56">
                  <c:v>5.6000000000000005</c:v>
                </c:pt>
                <c:pt idx="57">
                  <c:v>5.7</c:v>
                </c:pt>
                <c:pt idx="58">
                  <c:v>5.8000000000000007</c:v>
                </c:pt>
                <c:pt idx="59">
                  <c:v>5.9</c:v>
                </c:pt>
                <c:pt idx="60">
                  <c:v>6</c:v>
                </c:pt>
                <c:pt idx="61">
                  <c:v>6.1000000000000005</c:v>
                </c:pt>
                <c:pt idx="62">
                  <c:v>6.2</c:v>
                </c:pt>
                <c:pt idx="63">
                  <c:v>6.3000000000000007</c:v>
                </c:pt>
                <c:pt idx="64">
                  <c:v>6.4</c:v>
                </c:pt>
                <c:pt idx="65">
                  <c:v>6.5</c:v>
                </c:pt>
                <c:pt idx="66">
                  <c:v>6.6000000000000005</c:v>
                </c:pt>
                <c:pt idx="67">
                  <c:v>6.7</c:v>
                </c:pt>
                <c:pt idx="68">
                  <c:v>6.8000000000000007</c:v>
                </c:pt>
                <c:pt idx="69">
                  <c:v>6.9</c:v>
                </c:pt>
                <c:pt idx="70">
                  <c:v>7</c:v>
                </c:pt>
                <c:pt idx="71">
                  <c:v>7.1000000000000005</c:v>
                </c:pt>
                <c:pt idx="72">
                  <c:v>7.2</c:v>
                </c:pt>
                <c:pt idx="73">
                  <c:v>7.3000000000000007</c:v>
                </c:pt>
                <c:pt idx="74">
                  <c:v>7.4</c:v>
                </c:pt>
                <c:pt idx="75">
                  <c:v>7.5</c:v>
                </c:pt>
                <c:pt idx="76">
                  <c:v>7.6000000000000005</c:v>
                </c:pt>
                <c:pt idx="77">
                  <c:v>7.7</c:v>
                </c:pt>
                <c:pt idx="78">
                  <c:v>7.8000000000000007</c:v>
                </c:pt>
                <c:pt idx="79">
                  <c:v>7.9</c:v>
                </c:pt>
                <c:pt idx="80">
                  <c:v>8</c:v>
                </c:pt>
              </c:numCache>
            </c:numRef>
          </c:xVal>
          <c:yVal>
            <c:numRef>
              <c:f>'CENTRAL DIFFERENCE '!$D$3:$D$83</c:f>
              <c:numCache>
                <c:formatCode>General</c:formatCode>
                <c:ptCount val="81"/>
                <c:pt idx="0">
                  <c:v>0</c:v>
                </c:pt>
                <c:pt idx="1">
                  <c:v>2.2500000000000003E-3</c:v>
                </c:pt>
                <c:pt idx="2">
                  <c:v>5.4000000000000012E-3</c:v>
                </c:pt>
                <c:pt idx="3">
                  <c:v>5.3100000000000005E-3</c:v>
                </c:pt>
                <c:pt idx="4">
                  <c:v>2.0339999999999994E-3</c:v>
                </c:pt>
                <c:pt idx="5">
                  <c:v>-2.4624000000000013E-3</c:v>
                </c:pt>
                <c:pt idx="6">
                  <c:v>-5.4813600000000011E-3</c:v>
                </c:pt>
                <c:pt idx="7">
                  <c:v>-5.2115039999999987E-3</c:v>
                </c:pt>
                <c:pt idx="8">
                  <c:v>-1.8147455999999959E-3</c:v>
                </c:pt>
                <c:pt idx="9">
                  <c:v>2.6708601600000047E-3</c:v>
                </c:pt>
                <c:pt idx="10">
                  <c:v>5.5539498240000026E-3</c:v>
                </c:pt>
                <c:pt idx="11">
                  <c:v>5.1046695935999982E-3</c:v>
                </c:pt>
                <c:pt idx="12">
                  <c:v>1.5925876070399939E-3</c:v>
                </c:pt>
                <c:pt idx="13">
                  <c:v>-2.8750469437440066E-3</c:v>
                </c:pt>
                <c:pt idx="14">
                  <c:v>-5.6176533282816027E-3</c:v>
                </c:pt>
                <c:pt idx="15">
                  <c:v>-4.9896677158502364E-3</c:v>
                </c:pt>
                <c:pt idx="16">
                  <c:v>-1.3678814739087283E-3</c:v>
                </c:pt>
                <c:pt idx="17">
                  <c:v>3.0746336523780173E-3</c:v>
                </c:pt>
                <c:pt idx="18">
                  <c:v>5.6723685872379524E-3</c:v>
                </c:pt>
                <c:pt idx="19">
                  <c:v>4.8666823697551143E-3</c:v>
                </c:pt>
                <c:pt idx="20">
                  <c:v>1.1409867304192072E-3</c:v>
                </c:pt>
                <c:pt idx="21">
                  <c:v>-3.2693009471682251E-3</c:v>
                </c:pt>
                <c:pt idx="22">
                  <c:v>-5.7180080564547221E-3</c:v>
                </c:pt>
                <c:pt idx="23">
                  <c:v>-4.7359103318683855E-3</c:v>
                </c:pt>
                <c:pt idx="24">
                  <c:v>-9.1226640816101693E-4</c:v>
                </c:pt>
                <c:pt idx="25">
                  <c:v>3.4587373604429614E-3</c:v>
                </c:pt>
                <c:pt idx="26">
                  <c:v>5.7544987127811625E-3</c:v>
                </c:pt>
                <c:pt idx="27">
                  <c:v>4.5975608374506649E-3</c:v>
                </c:pt>
                <c:pt idx="28">
                  <c:v>6.8208645964976794E-4</c:v>
                </c:pt>
                <c:pt idx="29">
                  <c:v>-3.6426397939409902E-3</c:v>
                </c:pt>
                <c:pt idx="30">
                  <c:v>-5.7817821711671534E-3</c:v>
                </c:pt>
                <c:pt idx="31">
                  <c:v>-4.4518552456930243E-3</c:v>
                </c:pt>
                <c:pt idx="32">
                  <c:v>-4.5081517280308041E-4</c:v>
                </c:pt>
                <c:pt idx="33">
                  <c:v>3.8207140037687117E-3</c:v>
                </c:pt>
                <c:pt idx="34">
                  <c:v>5.7998147780792767E-3</c:v>
                </c:pt>
                <c:pt idx="35">
                  <c:v>4.2990266855422758E-3</c:v>
                </c:pt>
                <c:pt idx="36">
                  <c:v>2.1882258167990902E-4</c:v>
                </c:pt>
                <c:pt idx="37">
                  <c:v>-3.9926750711904036E-3</c:v>
                </c:pt>
                <c:pt idx="38">
                  <c:v>-5.8085676813464729E-3</c:v>
                </c:pt>
                <c:pt idx="39">
                  <c:v>-4.1393196826946576E-3</c:v>
                </c:pt>
                <c:pt idx="40">
                  <c:v>1.3520125573952415E-5</c:v>
                </c:pt>
                <c:pt idx="41">
                  <c:v>4.1582478584981913E-3</c:v>
                </c:pt>
                <c:pt idx="42">
                  <c:v>5.8080268763235146E-3</c:v>
                </c:pt>
                <c:pt idx="43">
                  <c:v>3.9729897683547276E-3</c:v>
                </c:pt>
                <c:pt idx="44">
                  <c:v>-2.4584120062689585E-4</c:v>
                </c:pt>
                <c:pt idx="45">
                  <c:v>-4.3171674492323816E-3</c:v>
                </c:pt>
                <c:pt idx="46">
                  <c:v>-5.7981932282984375E-3</c:v>
                </c:pt>
                <c:pt idx="47">
                  <c:v>-3.8003030703854307E-3</c:v>
                </c:pt>
                <c:pt idx="48">
                  <c:v>4.7776892975883535E-4</c:v>
                </c:pt>
                <c:pt idx="49">
                  <c:v>4.4691795720478E-3</c:v>
                </c:pt>
                <c:pt idx="50">
                  <c:v>5.7790824711080845E-3</c:v>
                </c:pt>
                <c:pt idx="51">
                  <c:v>3.6215358875035177E-3</c:v>
                </c:pt>
                <c:pt idx="52">
                  <c:v>-7.0893222860316039E-4</c:v>
                </c:pt>
                <c:pt idx="53">
                  <c:v>-4.6140410075479425E-3</c:v>
                </c:pt>
                <c:pt idx="54">
                  <c:v>-5.7507251819639586E-3</c:v>
                </c:pt>
                <c:pt idx="55">
                  <c:v>-3.4369742472015984E-3</c:v>
                </c:pt>
                <c:pt idx="56">
                  <c:v>9.3896123588172115E-4</c:v>
                </c:pt>
                <c:pt idx="57">
                  <c:v>4.7515199774360081E-3</c:v>
                </c:pt>
                <c:pt idx="58">
                  <c:v>5.71316673252869E-3</c:v>
                </c:pt>
                <c:pt idx="59">
                  <c:v>3.2469134481041572E-3</c:v>
                </c:pt>
                <c:pt idx="60">
                  <c:v>-1.1674879051828705E-3</c:v>
                </c:pt>
                <c:pt idx="61">
                  <c:v>-4.8813965153601752E-3</c:v>
                </c:pt>
                <c:pt idx="62">
                  <c:v>-5.6664672163213737E-3</c:v>
                </c:pt>
                <c:pt idx="63">
                  <c:v>-3.0516575874897475E-3</c:v>
                </c:pt>
                <c:pt idx="64">
                  <c:v>1.3941465938357277E-3</c:v>
                </c:pt>
                <c:pt idx="65">
                  <c:v>5.0034628188597658E-3</c:v>
                </c:pt>
                <c:pt idx="66">
                  <c:v>5.6107013525679436E-3</c:v>
                </c:pt>
                <c:pt idx="67">
                  <c:v>2.8515190747353549E-3</c:v>
                </c:pt>
                <c:pt idx="68">
                  <c:v>-1.6185746479384473E-3</c:v>
                </c:pt>
                <c:pt idx="69">
                  <c:v>-5.1175235818491805E-3</c:v>
                </c:pt>
                <c:pt idx="70">
                  <c:v>-5.5459583666504046E-3</c:v>
                </c:pt>
                <c:pt idx="71">
                  <c:v>-2.6468181314613856E-3</c:v>
                </c:pt>
                <c:pt idx="72">
                  <c:v>1.8404129826044655E-3</c:v>
                </c:pt>
                <c:pt idx="73">
                  <c:v>5.223396307107637E-3</c:v>
                </c:pt>
                <c:pt idx="74">
                  <c:v>5.4723418473462257E-3</c:v>
                </c:pt>
                <c:pt idx="75">
                  <c:v>2.4378822791770779E-3</c:v>
                </c:pt>
                <c:pt idx="76">
                  <c:v>-2.0593066564983165E-3</c:v>
                </c:pt>
                <c:pt idx="77">
                  <c:v>-5.3209115982747199E-3</c:v>
                </c:pt>
                <c:pt idx="78">
                  <c:v>-5.3899695810862907E-3</c:v>
                </c:pt>
                <c:pt idx="79">
                  <c:v>-2.2250458152460856E-3</c:v>
                </c:pt>
                <c:pt idx="80">
                  <c:v>2.274905439741771E-3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860-4DBC-B3DC-EA5C8EA0AA60}"/>
            </c:ext>
          </c:extLst>
        </c:ser>
        <c:ser>
          <c:idx val="1"/>
          <c:order val="1"/>
          <c:tx>
            <c:v>Velocity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'CENTRAL DIFFERENCE '!$B$3:$B$83</c:f>
              <c:numCache>
                <c:formatCode>General</c:formatCode>
                <c:ptCount val="8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0.60000000000000009</c:v>
                </c:pt>
                <c:pt idx="7">
                  <c:v>0.70000000000000007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1.2000000000000002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</c:v>
                </c:pt>
                <c:pt idx="16">
                  <c:v>1.6</c:v>
                </c:pt>
                <c:pt idx="17">
                  <c:v>1.7000000000000002</c:v>
                </c:pt>
                <c:pt idx="18">
                  <c:v>1.8</c:v>
                </c:pt>
                <c:pt idx="19">
                  <c:v>1.9000000000000001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2.3000000000000003</c:v>
                </c:pt>
                <c:pt idx="24">
                  <c:v>2.4000000000000004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2.8000000000000003</c:v>
                </c:pt>
                <c:pt idx="29">
                  <c:v>2.9000000000000004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3.3000000000000003</c:v>
                </c:pt>
                <c:pt idx="34">
                  <c:v>3.4000000000000004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3.8000000000000003</c:v>
                </c:pt>
                <c:pt idx="39">
                  <c:v>3.9000000000000004</c:v>
                </c:pt>
                <c:pt idx="40">
                  <c:v>4</c:v>
                </c:pt>
                <c:pt idx="41">
                  <c:v>4.1000000000000005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4.6000000000000005</c:v>
                </c:pt>
                <c:pt idx="47">
                  <c:v>4.7</c:v>
                </c:pt>
                <c:pt idx="48">
                  <c:v>4.8000000000000007</c:v>
                </c:pt>
                <c:pt idx="49">
                  <c:v>4.9000000000000004</c:v>
                </c:pt>
                <c:pt idx="50">
                  <c:v>5</c:v>
                </c:pt>
                <c:pt idx="51">
                  <c:v>5.1000000000000005</c:v>
                </c:pt>
                <c:pt idx="52">
                  <c:v>5.2</c:v>
                </c:pt>
                <c:pt idx="53">
                  <c:v>5.3000000000000007</c:v>
                </c:pt>
                <c:pt idx="54">
                  <c:v>5.4</c:v>
                </c:pt>
                <c:pt idx="55">
                  <c:v>5.5</c:v>
                </c:pt>
                <c:pt idx="56">
                  <c:v>5.6000000000000005</c:v>
                </c:pt>
                <c:pt idx="57">
                  <c:v>5.7</c:v>
                </c:pt>
                <c:pt idx="58">
                  <c:v>5.8000000000000007</c:v>
                </c:pt>
                <c:pt idx="59">
                  <c:v>5.9</c:v>
                </c:pt>
                <c:pt idx="60">
                  <c:v>6</c:v>
                </c:pt>
                <c:pt idx="61">
                  <c:v>6.1000000000000005</c:v>
                </c:pt>
                <c:pt idx="62">
                  <c:v>6.2</c:v>
                </c:pt>
                <c:pt idx="63">
                  <c:v>6.3000000000000007</c:v>
                </c:pt>
                <c:pt idx="64">
                  <c:v>6.4</c:v>
                </c:pt>
                <c:pt idx="65">
                  <c:v>6.5</c:v>
                </c:pt>
                <c:pt idx="66">
                  <c:v>6.6000000000000005</c:v>
                </c:pt>
                <c:pt idx="67">
                  <c:v>6.7</c:v>
                </c:pt>
                <c:pt idx="68">
                  <c:v>6.8000000000000007</c:v>
                </c:pt>
                <c:pt idx="69">
                  <c:v>6.9</c:v>
                </c:pt>
                <c:pt idx="70">
                  <c:v>7</c:v>
                </c:pt>
                <c:pt idx="71">
                  <c:v>7.1000000000000005</c:v>
                </c:pt>
                <c:pt idx="72">
                  <c:v>7.2</c:v>
                </c:pt>
                <c:pt idx="73">
                  <c:v>7.3000000000000007</c:v>
                </c:pt>
                <c:pt idx="74">
                  <c:v>7.4</c:v>
                </c:pt>
                <c:pt idx="75">
                  <c:v>7.5</c:v>
                </c:pt>
                <c:pt idx="76">
                  <c:v>7.6000000000000005</c:v>
                </c:pt>
                <c:pt idx="77">
                  <c:v>7.7</c:v>
                </c:pt>
                <c:pt idx="78">
                  <c:v>7.8000000000000007</c:v>
                </c:pt>
                <c:pt idx="79">
                  <c:v>7.9</c:v>
                </c:pt>
                <c:pt idx="80">
                  <c:v>8</c:v>
                </c:pt>
              </c:numCache>
            </c:numRef>
          </c:xVal>
          <c:yVal>
            <c:numRef>
              <c:f>'CENTRAL DIFFERENCE '!$E$3:$E$83</c:f>
              <c:numCache>
                <c:formatCode>General</c:formatCode>
                <c:ptCount val="81"/>
                <c:pt idx="0">
                  <c:v>-2.1684043449710089E-18</c:v>
                </c:pt>
                <c:pt idx="1">
                  <c:v>2.7000000000000003E-2</c:v>
                </c:pt>
                <c:pt idx="2">
                  <c:v>1.5300000000000001E-2</c:v>
                </c:pt>
                <c:pt idx="3">
                  <c:v>-1.6830000000000008E-2</c:v>
                </c:pt>
                <c:pt idx="4">
                  <c:v>-3.8862000000000008E-2</c:v>
                </c:pt>
                <c:pt idx="5">
                  <c:v>-3.75768E-2</c:v>
                </c:pt>
                <c:pt idx="6">
                  <c:v>-1.3745519999999987E-2</c:v>
                </c:pt>
                <c:pt idx="7">
                  <c:v>1.8333072000000027E-2</c:v>
                </c:pt>
                <c:pt idx="8">
                  <c:v>3.9411820800000018E-2</c:v>
                </c:pt>
                <c:pt idx="9">
                  <c:v>3.6843477119999989E-2</c:v>
                </c:pt>
                <c:pt idx="10">
                  <c:v>1.2169047167999967E-2</c:v>
                </c:pt>
                <c:pt idx="11">
                  <c:v>-1.9806811084800043E-2</c:v>
                </c:pt>
                <c:pt idx="12">
                  <c:v>-3.9898582686720016E-2</c:v>
                </c:pt>
                <c:pt idx="13">
                  <c:v>-3.6051204676607981E-2</c:v>
                </c:pt>
                <c:pt idx="14">
                  <c:v>-1.0573103860531148E-2</c:v>
                </c:pt>
                <c:pt idx="15">
                  <c:v>2.124885927186437E-2</c:v>
                </c:pt>
                <c:pt idx="16">
                  <c:v>4.0321506841141261E-2</c:v>
                </c:pt>
                <c:pt idx="17">
                  <c:v>3.52012503057334E-2</c:v>
                </c:pt>
                <c:pt idx="18">
                  <c:v>8.9602435868854843E-3</c:v>
                </c:pt>
                <c:pt idx="19">
                  <c:v>-2.2656909284093727E-2</c:v>
                </c:pt>
                <c:pt idx="20">
                  <c:v>-4.0679916584616692E-2</c:v>
                </c:pt>
                <c:pt idx="21">
                  <c:v>-3.4294973934369644E-2</c:v>
                </c:pt>
                <c:pt idx="22">
                  <c:v>-7.3330469235008021E-3</c:v>
                </c:pt>
                <c:pt idx="23">
                  <c:v>2.4028708241468522E-2</c:v>
                </c:pt>
                <c:pt idx="24">
                  <c:v>4.0973238461556732E-2</c:v>
                </c:pt>
                <c:pt idx="25">
                  <c:v>3.3333825604710897E-2</c:v>
                </c:pt>
                <c:pt idx="26">
                  <c:v>5.694117385038517E-3</c:v>
                </c:pt>
                <c:pt idx="27">
                  <c:v>-2.536206126565697E-2</c:v>
                </c:pt>
                <c:pt idx="28">
                  <c:v>-4.1201003156958273E-2</c:v>
                </c:pt>
                <c:pt idx="29">
                  <c:v>-3.2319343154084607E-2</c:v>
                </c:pt>
                <c:pt idx="30">
                  <c:v>-4.0460772587601699E-3</c:v>
                </c:pt>
                <c:pt idx="31">
                  <c:v>2.6654834991820364E-2</c:v>
                </c:pt>
                <c:pt idx="32">
                  <c:v>4.1362846247308682E-2</c:v>
                </c:pt>
                <c:pt idx="33">
                  <c:v>3.1253149754411784E-2</c:v>
                </c:pt>
                <c:pt idx="34">
                  <c:v>2.3915634088678204E-3</c:v>
                </c:pt>
                <c:pt idx="35">
                  <c:v>-2.7904960981996837E-2</c:v>
                </c:pt>
                <c:pt idx="36">
                  <c:v>-4.1458508783663389E-2</c:v>
                </c:pt>
                <c:pt idx="37">
                  <c:v>-3.0136951315131905E-2</c:v>
                </c:pt>
                <c:pt idx="38">
                  <c:v>-7.3322305752126973E-4</c:v>
                </c:pt>
                <c:pt idx="39">
                  <c:v>2.9110439034602125E-2</c:v>
                </c:pt>
                <c:pt idx="40">
                  <c:v>4.1487837705964245E-2</c:v>
                </c:pt>
                <c:pt idx="41">
                  <c:v>2.8972533753747809E-2</c:v>
                </c:pt>
                <c:pt idx="42">
                  <c:v>-9.2629045071731825E-4</c:v>
                </c:pt>
                <c:pt idx="43">
                  <c:v>-3.0269340384752048E-2</c:v>
                </c:pt>
                <c:pt idx="44">
                  <c:v>-4.1450786087935544E-2</c:v>
                </c:pt>
                <c:pt idx="45">
                  <c:v>-2.7761760138357711E-2</c:v>
                </c:pt>
                <c:pt idx="46">
                  <c:v>2.5843218942347545E-3</c:v>
                </c:pt>
                <c:pt idx="47">
                  <c:v>3.1379810790286358E-2</c:v>
                </c:pt>
                <c:pt idx="48">
                  <c:v>4.1347413212166145E-2</c:v>
                </c:pt>
                <c:pt idx="49">
                  <c:v>2.6506567706746247E-2</c:v>
                </c:pt>
                <c:pt idx="50">
                  <c:v>-4.238218422721411E-3</c:v>
                </c:pt>
                <c:pt idx="51">
                  <c:v>-3.2440073498556224E-2</c:v>
                </c:pt>
                <c:pt idx="52">
                  <c:v>-4.1177884475257297E-2</c:v>
                </c:pt>
                <c:pt idx="53">
                  <c:v>-2.5208964766803989E-2</c:v>
                </c:pt>
                <c:pt idx="54">
                  <c:v>5.8853338017317205E-3</c:v>
                </c:pt>
                <c:pt idx="55">
                  <c:v>3.3448432089228396E-2</c:v>
                </c:pt>
                <c:pt idx="56">
                  <c:v>4.094247112318803E-2</c:v>
                </c:pt>
                <c:pt idx="57">
                  <c:v>2.3871027483234841E-2</c:v>
                </c:pt>
                <c:pt idx="58">
                  <c:v>-7.5230326466592537E-3</c:v>
                </c:pt>
                <c:pt idx="59">
                  <c:v>-3.4403273188557799E-2</c:v>
                </c:pt>
                <c:pt idx="60">
                  <c:v>-4.0641549817321661E-2</c:v>
                </c:pt>
                <c:pt idx="61">
                  <c:v>-2.2494896555692513E-2</c:v>
                </c:pt>
                <c:pt idx="62">
                  <c:v>9.1486946393521378E-3</c:v>
                </c:pt>
                <c:pt idx="63">
                  <c:v>3.5303069050785507E-2</c:v>
                </c:pt>
                <c:pt idx="64">
                  <c:v>4.0275602031747564E-2</c:v>
                </c:pt>
                <c:pt idx="65">
                  <c:v>2.1082773793661077E-2</c:v>
                </c:pt>
                <c:pt idx="66">
                  <c:v>-1.0759718720622053E-2</c:v>
                </c:pt>
                <c:pt idx="67">
                  <c:v>-3.6146380002531953E-2</c:v>
                </c:pt>
                <c:pt idx="68">
                  <c:v>-3.9845213282922676E-2</c:v>
                </c:pt>
                <c:pt idx="69">
                  <c:v>-1.9636918593559788E-2</c:v>
                </c:pt>
                <c:pt idx="70">
                  <c:v>1.2353527251938974E-2</c:v>
                </c:pt>
                <c:pt idx="71">
                  <c:v>3.6931856746274347E-2</c:v>
                </c:pt>
                <c:pt idx="72">
                  <c:v>3.9351072192845109E-2</c:v>
                </c:pt>
                <c:pt idx="73">
                  <c:v>1.8159644323708802E-2</c:v>
                </c:pt>
                <c:pt idx="74">
                  <c:v>-1.3927570139652795E-2</c:v>
                </c:pt>
                <c:pt idx="75">
                  <c:v>-3.7658242519222708E-2</c:v>
                </c:pt>
                <c:pt idx="76">
                  <c:v>-3.8793969387258986E-2</c:v>
                </c:pt>
                <c:pt idx="77">
                  <c:v>-1.6653314622939869E-2</c:v>
                </c:pt>
                <c:pt idx="78">
                  <c:v>1.547932891514317E-2</c:v>
                </c:pt>
                <c:pt idx="79">
                  <c:v>3.8324375104140301E-2</c:v>
                </c:pt>
                <c:pt idx="80">
                  <c:v>1.1125229076230427E-2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860-4DBC-B3DC-EA5C8EA0AA60}"/>
            </c:ext>
          </c:extLst>
        </c:ser>
        <c:ser>
          <c:idx val="2"/>
          <c:order val="2"/>
          <c:tx>
            <c:v>Acceleration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'CENTRAL DIFFERENCE '!$B$3:$B$83</c:f>
              <c:numCache>
                <c:formatCode>General</c:formatCode>
                <c:ptCount val="8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0.60000000000000009</c:v>
                </c:pt>
                <c:pt idx="7">
                  <c:v>0.70000000000000007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1.2000000000000002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</c:v>
                </c:pt>
                <c:pt idx="16">
                  <c:v>1.6</c:v>
                </c:pt>
                <c:pt idx="17">
                  <c:v>1.7000000000000002</c:v>
                </c:pt>
                <c:pt idx="18">
                  <c:v>1.8</c:v>
                </c:pt>
                <c:pt idx="19">
                  <c:v>1.9000000000000001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2.3000000000000003</c:v>
                </c:pt>
                <c:pt idx="24">
                  <c:v>2.4000000000000004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2.8000000000000003</c:v>
                </c:pt>
                <c:pt idx="29">
                  <c:v>2.9000000000000004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3.3000000000000003</c:v>
                </c:pt>
                <c:pt idx="34">
                  <c:v>3.4000000000000004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3.8000000000000003</c:v>
                </c:pt>
                <c:pt idx="39">
                  <c:v>3.9000000000000004</c:v>
                </c:pt>
                <c:pt idx="40">
                  <c:v>4</c:v>
                </c:pt>
                <c:pt idx="41">
                  <c:v>4.1000000000000005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4.6000000000000005</c:v>
                </c:pt>
                <c:pt idx="47">
                  <c:v>4.7</c:v>
                </c:pt>
                <c:pt idx="48">
                  <c:v>4.8000000000000007</c:v>
                </c:pt>
                <c:pt idx="49">
                  <c:v>4.9000000000000004</c:v>
                </c:pt>
                <c:pt idx="50">
                  <c:v>5</c:v>
                </c:pt>
                <c:pt idx="51">
                  <c:v>5.1000000000000005</c:v>
                </c:pt>
                <c:pt idx="52">
                  <c:v>5.2</c:v>
                </c:pt>
                <c:pt idx="53">
                  <c:v>5.3000000000000007</c:v>
                </c:pt>
                <c:pt idx="54">
                  <c:v>5.4</c:v>
                </c:pt>
                <c:pt idx="55">
                  <c:v>5.5</c:v>
                </c:pt>
                <c:pt idx="56">
                  <c:v>5.6000000000000005</c:v>
                </c:pt>
                <c:pt idx="57">
                  <c:v>5.7</c:v>
                </c:pt>
                <c:pt idx="58">
                  <c:v>5.8000000000000007</c:v>
                </c:pt>
                <c:pt idx="59">
                  <c:v>5.9</c:v>
                </c:pt>
                <c:pt idx="60">
                  <c:v>6</c:v>
                </c:pt>
                <c:pt idx="61">
                  <c:v>6.1000000000000005</c:v>
                </c:pt>
                <c:pt idx="62">
                  <c:v>6.2</c:v>
                </c:pt>
                <c:pt idx="63">
                  <c:v>6.3000000000000007</c:v>
                </c:pt>
                <c:pt idx="64">
                  <c:v>6.4</c:v>
                </c:pt>
                <c:pt idx="65">
                  <c:v>6.5</c:v>
                </c:pt>
                <c:pt idx="66">
                  <c:v>6.6000000000000005</c:v>
                </c:pt>
                <c:pt idx="67">
                  <c:v>6.7</c:v>
                </c:pt>
                <c:pt idx="68">
                  <c:v>6.8000000000000007</c:v>
                </c:pt>
                <c:pt idx="69">
                  <c:v>6.9</c:v>
                </c:pt>
                <c:pt idx="70">
                  <c:v>7</c:v>
                </c:pt>
                <c:pt idx="71">
                  <c:v>7.1000000000000005</c:v>
                </c:pt>
                <c:pt idx="72">
                  <c:v>7.2</c:v>
                </c:pt>
                <c:pt idx="73">
                  <c:v>7.3000000000000007</c:v>
                </c:pt>
                <c:pt idx="74">
                  <c:v>7.4</c:v>
                </c:pt>
                <c:pt idx="75">
                  <c:v>7.5</c:v>
                </c:pt>
                <c:pt idx="76">
                  <c:v>7.6000000000000005</c:v>
                </c:pt>
                <c:pt idx="77">
                  <c:v>7.7</c:v>
                </c:pt>
                <c:pt idx="78">
                  <c:v>7.8000000000000007</c:v>
                </c:pt>
                <c:pt idx="79">
                  <c:v>7.9</c:v>
                </c:pt>
                <c:pt idx="80">
                  <c:v>8</c:v>
                </c:pt>
              </c:numCache>
            </c:numRef>
          </c:xVal>
          <c:yVal>
            <c:numRef>
              <c:f>'CENTRAL DIFFERENCE '!$F$3:$F$83</c:f>
              <c:numCache>
                <c:formatCode>General</c:formatCode>
                <c:ptCount val="81"/>
                <c:pt idx="0">
                  <c:v>0.44999999999999996</c:v>
                </c:pt>
                <c:pt idx="1">
                  <c:v>9.0000000000000038E-2</c:v>
                </c:pt>
                <c:pt idx="2">
                  <c:v>-0.32400000000000007</c:v>
                </c:pt>
                <c:pt idx="3">
                  <c:v>-0.31859999999999999</c:v>
                </c:pt>
                <c:pt idx="4">
                  <c:v>-0.12203999999999993</c:v>
                </c:pt>
                <c:pt idx="5">
                  <c:v>0.14774400000000007</c:v>
                </c:pt>
                <c:pt idx="6">
                  <c:v>0.32888160000000011</c:v>
                </c:pt>
                <c:pt idx="7">
                  <c:v>0.31269024000000006</c:v>
                </c:pt>
                <c:pt idx="8">
                  <c:v>0.10888473599999975</c:v>
                </c:pt>
                <c:pt idx="9">
                  <c:v>-0.16025160960000023</c:v>
                </c:pt>
                <c:pt idx="10">
                  <c:v>-0.33323698944000013</c:v>
                </c:pt>
                <c:pt idx="11">
                  <c:v>-0.30628017561599991</c:v>
                </c:pt>
                <c:pt idx="12">
                  <c:v>-9.5555256422399606E-2</c:v>
                </c:pt>
                <c:pt idx="13">
                  <c:v>0.17250281662464043</c:v>
                </c:pt>
                <c:pt idx="14">
                  <c:v>0.33705919969689624</c:v>
                </c:pt>
                <c:pt idx="15">
                  <c:v>0.2993800629510141</c:v>
                </c:pt>
                <c:pt idx="16">
                  <c:v>8.2072888434523719E-2</c:v>
                </c:pt>
                <c:pt idx="17">
                  <c:v>-0.18447801914268105</c:v>
                </c:pt>
                <c:pt idx="18">
                  <c:v>-0.34034211523427715</c:v>
                </c:pt>
                <c:pt idx="19">
                  <c:v>-0.29200094218530687</c:v>
                </c:pt>
                <c:pt idx="20">
                  <c:v>-6.8459203825152498E-2</c:v>
                </c:pt>
                <c:pt idx="21">
                  <c:v>0.19615805683009346</c:v>
                </c:pt>
                <c:pt idx="22">
                  <c:v>0.3430804833872832</c:v>
                </c:pt>
                <c:pt idx="23">
                  <c:v>0.28415461991210311</c:v>
                </c:pt>
                <c:pt idx="24">
                  <c:v>5.4735984489660966E-2</c:v>
                </c:pt>
                <c:pt idx="25">
                  <c:v>-0.20752424162657773</c:v>
                </c:pt>
                <c:pt idx="26">
                  <c:v>-0.34526992276686974</c:v>
                </c:pt>
                <c:pt idx="27">
                  <c:v>-0.27585365024703989</c:v>
                </c:pt>
                <c:pt idx="28">
                  <c:v>-4.0925187578986111E-2</c:v>
                </c:pt>
                <c:pt idx="29">
                  <c:v>0.21855838763645946</c:v>
                </c:pt>
                <c:pt idx="30">
                  <c:v>0.34690693027002911</c:v>
                </c:pt>
                <c:pt idx="31">
                  <c:v>0.26711131474158145</c:v>
                </c:pt>
                <c:pt idx="32">
                  <c:v>2.7048910368184815E-2</c:v>
                </c:pt>
                <c:pt idx="33">
                  <c:v>-0.22924284022612265</c:v>
                </c:pt>
                <c:pt idx="34">
                  <c:v>-0.34798888668475658</c:v>
                </c:pt>
                <c:pt idx="35">
                  <c:v>-0.25794160113253656</c:v>
                </c:pt>
                <c:pt idx="36">
                  <c:v>-1.3129354900794584E-2</c:v>
                </c:pt>
                <c:pt idx="37">
                  <c:v>0.23956050427142425</c:v>
                </c:pt>
                <c:pt idx="38">
                  <c:v>0.34851406088078829</c:v>
                </c:pt>
                <c:pt idx="39">
                  <c:v>0.24835918096167944</c:v>
                </c:pt>
                <c:pt idx="40">
                  <c:v>-8.1120753443711174E-4</c:v>
                </c:pt>
                <c:pt idx="41">
                  <c:v>-0.24949487150989147</c:v>
                </c:pt>
                <c:pt idx="42">
                  <c:v>-0.3484816125794109</c:v>
                </c:pt>
                <c:pt idx="43">
                  <c:v>-0.23837938610128356</c:v>
                </c:pt>
                <c:pt idx="44">
                  <c:v>1.4750472037613774E-2</c:v>
                </c:pt>
                <c:pt idx="45">
                  <c:v>0.25903004695394294</c:v>
                </c:pt>
                <c:pt idx="46">
                  <c:v>0.34789159369790623</c:v>
                </c:pt>
                <c:pt idx="47">
                  <c:v>0.22801818422312584</c:v>
                </c:pt>
                <c:pt idx="48">
                  <c:v>-2.8666135785530133E-2</c:v>
                </c:pt>
                <c:pt idx="49">
                  <c:v>-0.26815077432286799</c:v>
                </c:pt>
                <c:pt idx="50">
                  <c:v>-0.34674494826648511</c:v>
                </c:pt>
                <c:pt idx="51">
                  <c:v>-0.21729215325021109</c:v>
                </c:pt>
                <c:pt idx="52">
                  <c:v>4.2535933716189592E-2</c:v>
                </c:pt>
                <c:pt idx="53">
                  <c:v>0.27684246045287653</c:v>
                </c:pt>
                <c:pt idx="54">
                  <c:v>0.34504351091783758</c:v>
                </c:pt>
                <c:pt idx="55">
                  <c:v>0.20621845483209594</c:v>
                </c:pt>
                <c:pt idx="56">
                  <c:v>-5.633767415290325E-2</c:v>
                </c:pt>
                <c:pt idx="57">
                  <c:v>-0.28509119864616039</c:v>
                </c:pt>
                <c:pt idx="58">
                  <c:v>-0.34279000395172143</c:v>
                </c:pt>
                <c:pt idx="59">
                  <c:v>-0.19481480688624947</c:v>
                </c:pt>
                <c:pt idx="60">
                  <c:v>7.0049274310972298E-2</c:v>
                </c:pt>
                <c:pt idx="61">
                  <c:v>0.29288379092161054</c:v>
                </c:pt>
                <c:pt idx="62">
                  <c:v>0.33998803297928237</c:v>
                </c:pt>
                <c:pt idx="63">
                  <c:v>0.18309945524938487</c:v>
                </c:pt>
                <c:pt idx="64">
                  <c:v>-8.3648795630143713E-2</c:v>
                </c:pt>
                <c:pt idx="65">
                  <c:v>-0.30020776913158598</c:v>
                </c:pt>
                <c:pt idx="66">
                  <c:v>-0.33664208115407662</c:v>
                </c:pt>
                <c:pt idx="67">
                  <c:v>-0.1710911444841213</c:v>
                </c:pt>
                <c:pt idx="68">
                  <c:v>9.7114478876306878E-2</c:v>
                </c:pt>
                <c:pt idx="69">
                  <c:v>0.30705141491095089</c:v>
                </c:pt>
                <c:pt idx="70">
                  <c:v>0.33275750199902426</c:v>
                </c:pt>
                <c:pt idx="71">
                  <c:v>0.15880908788768316</c:v>
                </c:pt>
                <c:pt idx="72">
                  <c:v>-0.11042477895626794</c:v>
                </c:pt>
                <c:pt idx="73">
                  <c:v>-0.31340377842645822</c:v>
                </c:pt>
                <c:pt idx="74">
                  <c:v>-0.32834051084077359</c:v>
                </c:pt>
                <c:pt idx="75">
                  <c:v>-0.14627293675062464</c:v>
                </c:pt>
                <c:pt idx="76">
                  <c:v>0.12355839938989908</c:v>
                </c:pt>
                <c:pt idx="77">
                  <c:v>0.31925469589648314</c:v>
                </c:pt>
                <c:pt idx="78">
                  <c:v>0.32339817486517758</c:v>
                </c:pt>
                <c:pt idx="79">
                  <c:v>0.13350274891476513</c:v>
                </c:pt>
                <c:pt idx="80">
                  <c:v>-0.67748566947296263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860-4DBC-B3DC-EA5C8EA0AA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9818856"/>
        <c:axId val="599813936"/>
      </c:scatterChart>
      <c:valAx>
        <c:axId val="5998188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GH"/>
          </a:p>
        </c:txPr>
        <c:crossAx val="599813936"/>
        <c:crosses val="autoZero"/>
        <c:crossBetween val="midCat"/>
      </c:valAx>
      <c:valAx>
        <c:axId val="599813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GH"/>
          </a:p>
        </c:txPr>
        <c:crossAx val="599818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H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GH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6422919561525391E-2"/>
          <c:y val="9.0656034098178781E-2"/>
          <c:w val="0.8823265880908937"/>
          <c:h val="0.81157197099201772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'CENTRAL DIFFERENCE '!$B$3:$B$83</c:f>
              <c:numCache>
                <c:formatCode>General</c:formatCode>
                <c:ptCount val="8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0.60000000000000009</c:v>
                </c:pt>
                <c:pt idx="7">
                  <c:v>0.70000000000000007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1.2000000000000002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</c:v>
                </c:pt>
                <c:pt idx="16">
                  <c:v>1.6</c:v>
                </c:pt>
                <c:pt idx="17">
                  <c:v>1.7000000000000002</c:v>
                </c:pt>
                <c:pt idx="18">
                  <c:v>1.8</c:v>
                </c:pt>
                <c:pt idx="19">
                  <c:v>1.9000000000000001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2.3000000000000003</c:v>
                </c:pt>
                <c:pt idx="24">
                  <c:v>2.4000000000000004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2.8000000000000003</c:v>
                </c:pt>
                <c:pt idx="29">
                  <c:v>2.9000000000000004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3.3000000000000003</c:v>
                </c:pt>
                <c:pt idx="34">
                  <c:v>3.4000000000000004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3.8000000000000003</c:v>
                </c:pt>
                <c:pt idx="39">
                  <c:v>3.9000000000000004</c:v>
                </c:pt>
                <c:pt idx="40">
                  <c:v>4</c:v>
                </c:pt>
                <c:pt idx="41">
                  <c:v>4.1000000000000005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4.6000000000000005</c:v>
                </c:pt>
                <c:pt idx="47">
                  <c:v>4.7</c:v>
                </c:pt>
                <c:pt idx="48">
                  <c:v>4.8000000000000007</c:v>
                </c:pt>
                <c:pt idx="49">
                  <c:v>4.9000000000000004</c:v>
                </c:pt>
                <c:pt idx="50">
                  <c:v>5</c:v>
                </c:pt>
                <c:pt idx="51">
                  <c:v>5.1000000000000005</c:v>
                </c:pt>
                <c:pt idx="52">
                  <c:v>5.2</c:v>
                </c:pt>
                <c:pt idx="53">
                  <c:v>5.3000000000000007</c:v>
                </c:pt>
                <c:pt idx="54">
                  <c:v>5.4</c:v>
                </c:pt>
                <c:pt idx="55">
                  <c:v>5.5</c:v>
                </c:pt>
                <c:pt idx="56">
                  <c:v>5.6000000000000005</c:v>
                </c:pt>
                <c:pt idx="57">
                  <c:v>5.7</c:v>
                </c:pt>
                <c:pt idx="58">
                  <c:v>5.8000000000000007</c:v>
                </c:pt>
                <c:pt idx="59">
                  <c:v>5.9</c:v>
                </c:pt>
                <c:pt idx="60">
                  <c:v>6</c:v>
                </c:pt>
                <c:pt idx="61">
                  <c:v>6.1000000000000005</c:v>
                </c:pt>
                <c:pt idx="62">
                  <c:v>6.2</c:v>
                </c:pt>
                <c:pt idx="63">
                  <c:v>6.3000000000000007</c:v>
                </c:pt>
                <c:pt idx="64">
                  <c:v>6.4</c:v>
                </c:pt>
                <c:pt idx="65">
                  <c:v>6.5</c:v>
                </c:pt>
                <c:pt idx="66">
                  <c:v>6.6000000000000005</c:v>
                </c:pt>
                <c:pt idx="67">
                  <c:v>6.7</c:v>
                </c:pt>
                <c:pt idx="68">
                  <c:v>6.8000000000000007</c:v>
                </c:pt>
                <c:pt idx="69">
                  <c:v>6.9</c:v>
                </c:pt>
                <c:pt idx="70">
                  <c:v>7</c:v>
                </c:pt>
                <c:pt idx="71">
                  <c:v>7.1000000000000005</c:v>
                </c:pt>
                <c:pt idx="72">
                  <c:v>7.2</c:v>
                </c:pt>
                <c:pt idx="73">
                  <c:v>7.3000000000000007</c:v>
                </c:pt>
                <c:pt idx="74">
                  <c:v>7.4</c:v>
                </c:pt>
                <c:pt idx="75">
                  <c:v>7.5</c:v>
                </c:pt>
                <c:pt idx="76">
                  <c:v>7.6000000000000005</c:v>
                </c:pt>
                <c:pt idx="77">
                  <c:v>7.7</c:v>
                </c:pt>
                <c:pt idx="78">
                  <c:v>7.8000000000000007</c:v>
                </c:pt>
                <c:pt idx="79">
                  <c:v>7.9</c:v>
                </c:pt>
                <c:pt idx="80">
                  <c:v>8</c:v>
                </c:pt>
              </c:numCache>
            </c:numRef>
          </c:xVal>
          <c:yVal>
            <c:numRef>
              <c:f>'CENTRAL DIFFERENCE '!$G$3:$G$83</c:f>
              <c:numCache>
                <c:formatCode>General</c:formatCode>
                <c:ptCount val="81"/>
                <c:pt idx="0">
                  <c:v>-2.1684043449710089E-18</c:v>
                </c:pt>
                <c:pt idx="1">
                  <c:v>2.7000000000000003E-2</c:v>
                </c:pt>
                <c:pt idx="2">
                  <c:v>1.5300000000000001E-2</c:v>
                </c:pt>
                <c:pt idx="3">
                  <c:v>-1.6830000000000008E-2</c:v>
                </c:pt>
                <c:pt idx="4">
                  <c:v>-3.8862000000000008E-2</c:v>
                </c:pt>
                <c:pt idx="5">
                  <c:v>-3.75768E-2</c:v>
                </c:pt>
                <c:pt idx="6">
                  <c:v>-1.3745519999999987E-2</c:v>
                </c:pt>
                <c:pt idx="7">
                  <c:v>1.8333072000000027E-2</c:v>
                </c:pt>
                <c:pt idx="8">
                  <c:v>3.9411820800000018E-2</c:v>
                </c:pt>
                <c:pt idx="9">
                  <c:v>3.6843477119999989E-2</c:v>
                </c:pt>
                <c:pt idx="10">
                  <c:v>1.2169047167999967E-2</c:v>
                </c:pt>
                <c:pt idx="11">
                  <c:v>-1.9806811084800043E-2</c:v>
                </c:pt>
                <c:pt idx="12">
                  <c:v>-3.9898582686720016E-2</c:v>
                </c:pt>
                <c:pt idx="13">
                  <c:v>-3.6051204676607981E-2</c:v>
                </c:pt>
                <c:pt idx="14">
                  <c:v>-1.0573103860531148E-2</c:v>
                </c:pt>
                <c:pt idx="15">
                  <c:v>2.124885927186437E-2</c:v>
                </c:pt>
                <c:pt idx="16">
                  <c:v>4.0321506841141261E-2</c:v>
                </c:pt>
                <c:pt idx="17">
                  <c:v>3.52012503057334E-2</c:v>
                </c:pt>
                <c:pt idx="18">
                  <c:v>8.9602435868854843E-3</c:v>
                </c:pt>
                <c:pt idx="19">
                  <c:v>-2.2656909284093727E-2</c:v>
                </c:pt>
                <c:pt idx="20">
                  <c:v>-4.0679916584616692E-2</c:v>
                </c:pt>
                <c:pt idx="21">
                  <c:v>-3.4294973934369644E-2</c:v>
                </c:pt>
                <c:pt idx="22">
                  <c:v>-7.3330469235008021E-3</c:v>
                </c:pt>
                <c:pt idx="23">
                  <c:v>2.4028708241468522E-2</c:v>
                </c:pt>
                <c:pt idx="24">
                  <c:v>4.0973238461556732E-2</c:v>
                </c:pt>
                <c:pt idx="25">
                  <c:v>3.3333825604710897E-2</c:v>
                </c:pt>
                <c:pt idx="26">
                  <c:v>5.694117385038517E-3</c:v>
                </c:pt>
                <c:pt idx="27">
                  <c:v>-2.536206126565697E-2</c:v>
                </c:pt>
                <c:pt idx="28">
                  <c:v>-4.1201003156958273E-2</c:v>
                </c:pt>
                <c:pt idx="29">
                  <c:v>-3.2319343154084607E-2</c:v>
                </c:pt>
                <c:pt idx="30">
                  <c:v>-4.0460772587601699E-3</c:v>
                </c:pt>
                <c:pt idx="31">
                  <c:v>2.6654834991820364E-2</c:v>
                </c:pt>
                <c:pt idx="32">
                  <c:v>4.1362846247308682E-2</c:v>
                </c:pt>
                <c:pt idx="33">
                  <c:v>3.1253149754411784E-2</c:v>
                </c:pt>
                <c:pt idx="34">
                  <c:v>2.3915634088678204E-3</c:v>
                </c:pt>
                <c:pt idx="35">
                  <c:v>-2.7904960981996837E-2</c:v>
                </c:pt>
                <c:pt idx="36">
                  <c:v>-4.1458508783663389E-2</c:v>
                </c:pt>
                <c:pt idx="37">
                  <c:v>-3.0136951315131905E-2</c:v>
                </c:pt>
                <c:pt idx="38">
                  <c:v>-7.3322305752126973E-4</c:v>
                </c:pt>
                <c:pt idx="39">
                  <c:v>2.9110439034602125E-2</c:v>
                </c:pt>
                <c:pt idx="40">
                  <c:v>4.1487837705964245E-2</c:v>
                </c:pt>
                <c:pt idx="41">
                  <c:v>2.8972533753747809E-2</c:v>
                </c:pt>
                <c:pt idx="42">
                  <c:v>-9.2629045071731825E-4</c:v>
                </c:pt>
                <c:pt idx="43">
                  <c:v>-3.0269340384752048E-2</c:v>
                </c:pt>
                <c:pt idx="44">
                  <c:v>-4.1450786087935544E-2</c:v>
                </c:pt>
                <c:pt idx="45">
                  <c:v>-2.7761760138357711E-2</c:v>
                </c:pt>
                <c:pt idx="46">
                  <c:v>2.5843218942347545E-3</c:v>
                </c:pt>
                <c:pt idx="47">
                  <c:v>3.1379810790286358E-2</c:v>
                </c:pt>
                <c:pt idx="48">
                  <c:v>4.1347413212166145E-2</c:v>
                </c:pt>
                <c:pt idx="49">
                  <c:v>2.6506567706746247E-2</c:v>
                </c:pt>
                <c:pt idx="50">
                  <c:v>-4.238218422721411E-3</c:v>
                </c:pt>
                <c:pt idx="51">
                  <c:v>-3.2440073498556224E-2</c:v>
                </c:pt>
                <c:pt idx="52">
                  <c:v>-4.1177884475257297E-2</c:v>
                </c:pt>
                <c:pt idx="53">
                  <c:v>-2.5208964766803989E-2</c:v>
                </c:pt>
                <c:pt idx="54">
                  <c:v>5.8853338017317205E-3</c:v>
                </c:pt>
                <c:pt idx="55">
                  <c:v>3.3448432089228396E-2</c:v>
                </c:pt>
                <c:pt idx="56">
                  <c:v>4.094247112318803E-2</c:v>
                </c:pt>
                <c:pt idx="57">
                  <c:v>2.3871027483234841E-2</c:v>
                </c:pt>
                <c:pt idx="58">
                  <c:v>-7.5230326466592537E-3</c:v>
                </c:pt>
                <c:pt idx="59">
                  <c:v>-3.4403273188557799E-2</c:v>
                </c:pt>
                <c:pt idx="60">
                  <c:v>-4.0641549817321661E-2</c:v>
                </c:pt>
                <c:pt idx="61">
                  <c:v>-2.2494896555692513E-2</c:v>
                </c:pt>
                <c:pt idx="62">
                  <c:v>9.1486946393521378E-3</c:v>
                </c:pt>
                <c:pt idx="63">
                  <c:v>3.5303069050785507E-2</c:v>
                </c:pt>
                <c:pt idx="64">
                  <c:v>4.0275602031747564E-2</c:v>
                </c:pt>
                <c:pt idx="65">
                  <c:v>2.1082773793661077E-2</c:v>
                </c:pt>
                <c:pt idx="66">
                  <c:v>-1.0759718720622053E-2</c:v>
                </c:pt>
                <c:pt idx="67">
                  <c:v>-3.6146380002531953E-2</c:v>
                </c:pt>
                <c:pt idx="68">
                  <c:v>-3.9845213282922676E-2</c:v>
                </c:pt>
                <c:pt idx="69">
                  <c:v>-1.9636918593559788E-2</c:v>
                </c:pt>
                <c:pt idx="70">
                  <c:v>1.2353527251938974E-2</c:v>
                </c:pt>
                <c:pt idx="71">
                  <c:v>3.6931856746274347E-2</c:v>
                </c:pt>
                <c:pt idx="72">
                  <c:v>3.9351072192845109E-2</c:v>
                </c:pt>
                <c:pt idx="73">
                  <c:v>1.8159644323708802E-2</c:v>
                </c:pt>
                <c:pt idx="74">
                  <c:v>-1.3927570139652795E-2</c:v>
                </c:pt>
                <c:pt idx="75">
                  <c:v>-3.7658242519222708E-2</c:v>
                </c:pt>
                <c:pt idx="76">
                  <c:v>-3.8793969387258986E-2</c:v>
                </c:pt>
                <c:pt idx="77">
                  <c:v>-1.6653314622939869E-2</c:v>
                </c:pt>
                <c:pt idx="78">
                  <c:v>1.547932891514317E-2</c:v>
                </c:pt>
                <c:pt idx="79">
                  <c:v>3.8324375104140301E-2</c:v>
                </c:pt>
                <c:pt idx="80">
                  <c:v>1.1125229076230427E-2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49-4D0A-956B-BF065C54216F}"/>
            </c:ext>
          </c:extLst>
        </c:ser>
        <c:ser>
          <c:idx val="1"/>
          <c:order val="1"/>
          <c:tx>
            <c:strRef>
              <c:f>'CENTRAL DIFFERENCE '!$R$2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'CENTRAL DIFFERENCE '!$AA$2</c:f>
              <c:strCache>
                <c:ptCount val="1"/>
                <c:pt idx="0">
                  <c:v>Velocity</c:v>
                </c:pt>
              </c:strCache>
            </c:strRef>
          </c:xVal>
          <c:yVal>
            <c:numRef>
              <c:f>'CENTRAL DIFFERENCE '!$AB$2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A49-4D0A-956B-BF065C54216F}"/>
            </c:ext>
          </c:extLst>
        </c:ser>
        <c:ser>
          <c:idx val="2"/>
          <c:order val="2"/>
          <c:tx>
            <c:strRef>
              <c:f>'CENTRAL DIFFERENCE '!$S$2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strRef>
              <c:f>'CENTRAL DIFFERENCE '!$AA$2</c:f>
              <c:strCache>
                <c:ptCount val="1"/>
                <c:pt idx="0">
                  <c:v>Velocity</c:v>
                </c:pt>
              </c:strCache>
            </c:strRef>
          </c:xVal>
          <c:yVal>
            <c:numRef>
              <c:f>'CENTRAL DIFFERENCE '!$AC$2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A49-4D0A-956B-BF065C542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3320688"/>
        <c:axId val="513328888"/>
      </c:scatterChart>
      <c:valAx>
        <c:axId val="513320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GH"/>
          </a:p>
        </c:txPr>
        <c:crossAx val="513328888"/>
        <c:crosses val="autoZero"/>
        <c:crossBetween val="midCat"/>
      </c:valAx>
      <c:valAx>
        <c:axId val="51332888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GH"/>
          </a:p>
        </c:txPr>
        <c:crossAx val="513320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GH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CA">
                <a:latin typeface="Arial" panose="020B0604020202020204" pitchFamily="34" charset="0"/>
                <a:cs typeface="Arial" panose="020B0604020202020204" pitchFamily="34" charset="0"/>
              </a:rPr>
              <a:t>Acceleration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GH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'EL CENTRO '!$A$3:$A$1560</c:f>
              <c:numCache>
                <c:formatCode>General</c:formatCode>
                <c:ptCount val="1558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  <c:pt idx="51">
                  <c:v>1.02</c:v>
                </c:pt>
                <c:pt idx="52">
                  <c:v>1.04</c:v>
                </c:pt>
                <c:pt idx="53">
                  <c:v>1.06</c:v>
                </c:pt>
                <c:pt idx="54">
                  <c:v>1.08</c:v>
                </c:pt>
                <c:pt idx="55">
                  <c:v>1.1000000000000001</c:v>
                </c:pt>
                <c:pt idx="56">
                  <c:v>1.1200000000000001</c:v>
                </c:pt>
                <c:pt idx="57">
                  <c:v>1.1399999999999999</c:v>
                </c:pt>
                <c:pt idx="58">
                  <c:v>1.1599999999999999</c:v>
                </c:pt>
                <c:pt idx="59">
                  <c:v>1.18</c:v>
                </c:pt>
                <c:pt idx="60">
                  <c:v>1.2</c:v>
                </c:pt>
                <c:pt idx="61">
                  <c:v>1.22</c:v>
                </c:pt>
                <c:pt idx="62">
                  <c:v>1.24</c:v>
                </c:pt>
                <c:pt idx="63">
                  <c:v>1.26</c:v>
                </c:pt>
                <c:pt idx="64">
                  <c:v>1.28</c:v>
                </c:pt>
                <c:pt idx="65">
                  <c:v>1.3</c:v>
                </c:pt>
                <c:pt idx="66">
                  <c:v>1.32</c:v>
                </c:pt>
                <c:pt idx="67">
                  <c:v>1.34</c:v>
                </c:pt>
                <c:pt idx="68">
                  <c:v>1.36</c:v>
                </c:pt>
                <c:pt idx="69">
                  <c:v>1.38</c:v>
                </c:pt>
                <c:pt idx="70">
                  <c:v>1.4</c:v>
                </c:pt>
                <c:pt idx="71">
                  <c:v>1.42</c:v>
                </c:pt>
                <c:pt idx="72">
                  <c:v>1.44</c:v>
                </c:pt>
                <c:pt idx="73">
                  <c:v>1.46</c:v>
                </c:pt>
                <c:pt idx="74">
                  <c:v>1.48</c:v>
                </c:pt>
                <c:pt idx="75">
                  <c:v>1.5</c:v>
                </c:pt>
                <c:pt idx="76">
                  <c:v>1.52</c:v>
                </c:pt>
                <c:pt idx="77">
                  <c:v>1.54</c:v>
                </c:pt>
                <c:pt idx="78">
                  <c:v>1.56</c:v>
                </c:pt>
                <c:pt idx="79">
                  <c:v>1.58</c:v>
                </c:pt>
                <c:pt idx="80">
                  <c:v>1.6</c:v>
                </c:pt>
                <c:pt idx="81">
                  <c:v>1.62</c:v>
                </c:pt>
                <c:pt idx="82">
                  <c:v>1.64</c:v>
                </c:pt>
                <c:pt idx="83">
                  <c:v>1.66</c:v>
                </c:pt>
                <c:pt idx="84">
                  <c:v>1.68</c:v>
                </c:pt>
                <c:pt idx="85">
                  <c:v>1.7</c:v>
                </c:pt>
                <c:pt idx="86">
                  <c:v>1.72</c:v>
                </c:pt>
                <c:pt idx="87">
                  <c:v>1.74</c:v>
                </c:pt>
                <c:pt idx="88">
                  <c:v>1.76</c:v>
                </c:pt>
                <c:pt idx="89">
                  <c:v>1.78</c:v>
                </c:pt>
                <c:pt idx="90">
                  <c:v>1.8</c:v>
                </c:pt>
                <c:pt idx="91">
                  <c:v>1.82</c:v>
                </c:pt>
                <c:pt idx="92">
                  <c:v>1.84</c:v>
                </c:pt>
                <c:pt idx="93">
                  <c:v>1.86</c:v>
                </c:pt>
                <c:pt idx="94">
                  <c:v>1.88</c:v>
                </c:pt>
                <c:pt idx="95">
                  <c:v>1.9</c:v>
                </c:pt>
                <c:pt idx="96">
                  <c:v>1.92</c:v>
                </c:pt>
                <c:pt idx="97">
                  <c:v>1.94</c:v>
                </c:pt>
                <c:pt idx="98">
                  <c:v>1.96</c:v>
                </c:pt>
                <c:pt idx="99">
                  <c:v>1.98</c:v>
                </c:pt>
                <c:pt idx="100">
                  <c:v>2</c:v>
                </c:pt>
                <c:pt idx="101">
                  <c:v>2.02</c:v>
                </c:pt>
                <c:pt idx="102">
                  <c:v>2.04</c:v>
                </c:pt>
                <c:pt idx="103">
                  <c:v>2.06</c:v>
                </c:pt>
                <c:pt idx="104">
                  <c:v>2.08</c:v>
                </c:pt>
                <c:pt idx="105">
                  <c:v>2.1</c:v>
                </c:pt>
                <c:pt idx="106">
                  <c:v>2.12</c:v>
                </c:pt>
                <c:pt idx="107">
                  <c:v>2.14</c:v>
                </c:pt>
                <c:pt idx="108">
                  <c:v>2.16</c:v>
                </c:pt>
                <c:pt idx="109">
                  <c:v>2.1800000000000002</c:v>
                </c:pt>
                <c:pt idx="110">
                  <c:v>2.2000000000000002</c:v>
                </c:pt>
                <c:pt idx="111">
                  <c:v>2.2200000000000002</c:v>
                </c:pt>
                <c:pt idx="112">
                  <c:v>2.2400000000000002</c:v>
                </c:pt>
                <c:pt idx="113">
                  <c:v>2.2599999999999998</c:v>
                </c:pt>
                <c:pt idx="114">
                  <c:v>2.2799999999999998</c:v>
                </c:pt>
                <c:pt idx="115">
                  <c:v>2.2999999999999998</c:v>
                </c:pt>
                <c:pt idx="116">
                  <c:v>2.3199999999999998</c:v>
                </c:pt>
                <c:pt idx="117">
                  <c:v>2.34</c:v>
                </c:pt>
                <c:pt idx="118">
                  <c:v>2.36</c:v>
                </c:pt>
                <c:pt idx="119">
                  <c:v>2.38</c:v>
                </c:pt>
                <c:pt idx="120">
                  <c:v>2.4</c:v>
                </c:pt>
                <c:pt idx="121">
                  <c:v>2.42</c:v>
                </c:pt>
                <c:pt idx="122">
                  <c:v>2.44</c:v>
                </c:pt>
                <c:pt idx="123">
                  <c:v>2.46</c:v>
                </c:pt>
                <c:pt idx="124">
                  <c:v>2.48</c:v>
                </c:pt>
                <c:pt idx="125">
                  <c:v>2.5</c:v>
                </c:pt>
                <c:pt idx="126">
                  <c:v>2.52</c:v>
                </c:pt>
                <c:pt idx="127">
                  <c:v>2.54</c:v>
                </c:pt>
                <c:pt idx="128">
                  <c:v>2.56</c:v>
                </c:pt>
                <c:pt idx="129">
                  <c:v>2.58</c:v>
                </c:pt>
                <c:pt idx="130">
                  <c:v>2.6</c:v>
                </c:pt>
                <c:pt idx="131">
                  <c:v>2.62</c:v>
                </c:pt>
                <c:pt idx="132">
                  <c:v>2.64</c:v>
                </c:pt>
                <c:pt idx="133">
                  <c:v>2.66</c:v>
                </c:pt>
                <c:pt idx="134">
                  <c:v>2.68</c:v>
                </c:pt>
                <c:pt idx="135">
                  <c:v>2.7</c:v>
                </c:pt>
                <c:pt idx="136">
                  <c:v>2.72</c:v>
                </c:pt>
                <c:pt idx="137">
                  <c:v>2.74</c:v>
                </c:pt>
                <c:pt idx="138">
                  <c:v>2.76</c:v>
                </c:pt>
                <c:pt idx="139">
                  <c:v>2.78</c:v>
                </c:pt>
                <c:pt idx="140">
                  <c:v>2.8</c:v>
                </c:pt>
                <c:pt idx="141">
                  <c:v>2.82</c:v>
                </c:pt>
                <c:pt idx="142">
                  <c:v>2.84</c:v>
                </c:pt>
                <c:pt idx="143">
                  <c:v>2.86</c:v>
                </c:pt>
                <c:pt idx="144">
                  <c:v>2.88</c:v>
                </c:pt>
                <c:pt idx="145">
                  <c:v>2.9</c:v>
                </c:pt>
                <c:pt idx="146">
                  <c:v>2.92</c:v>
                </c:pt>
                <c:pt idx="147">
                  <c:v>2.94</c:v>
                </c:pt>
                <c:pt idx="148">
                  <c:v>2.96</c:v>
                </c:pt>
                <c:pt idx="149">
                  <c:v>2.98</c:v>
                </c:pt>
                <c:pt idx="150">
                  <c:v>3</c:v>
                </c:pt>
                <c:pt idx="151">
                  <c:v>3.02</c:v>
                </c:pt>
                <c:pt idx="152">
                  <c:v>3.04</c:v>
                </c:pt>
                <c:pt idx="153">
                  <c:v>3.06</c:v>
                </c:pt>
                <c:pt idx="154">
                  <c:v>3.08</c:v>
                </c:pt>
                <c:pt idx="155">
                  <c:v>3.1</c:v>
                </c:pt>
                <c:pt idx="156">
                  <c:v>3.12</c:v>
                </c:pt>
                <c:pt idx="157">
                  <c:v>3.14</c:v>
                </c:pt>
                <c:pt idx="158">
                  <c:v>3.16</c:v>
                </c:pt>
                <c:pt idx="159">
                  <c:v>3.18</c:v>
                </c:pt>
                <c:pt idx="160">
                  <c:v>3.2</c:v>
                </c:pt>
                <c:pt idx="161">
                  <c:v>3.22</c:v>
                </c:pt>
                <c:pt idx="162">
                  <c:v>3.24</c:v>
                </c:pt>
                <c:pt idx="163">
                  <c:v>3.26</c:v>
                </c:pt>
                <c:pt idx="164">
                  <c:v>3.28</c:v>
                </c:pt>
                <c:pt idx="165">
                  <c:v>3.3</c:v>
                </c:pt>
                <c:pt idx="166">
                  <c:v>3.32</c:v>
                </c:pt>
                <c:pt idx="167">
                  <c:v>3.34</c:v>
                </c:pt>
                <c:pt idx="168">
                  <c:v>3.36</c:v>
                </c:pt>
                <c:pt idx="169">
                  <c:v>3.38</c:v>
                </c:pt>
                <c:pt idx="170">
                  <c:v>3.4</c:v>
                </c:pt>
                <c:pt idx="171">
                  <c:v>3.42</c:v>
                </c:pt>
                <c:pt idx="172">
                  <c:v>3.44</c:v>
                </c:pt>
                <c:pt idx="173">
                  <c:v>3.46</c:v>
                </c:pt>
                <c:pt idx="174">
                  <c:v>3.48</c:v>
                </c:pt>
                <c:pt idx="175">
                  <c:v>3.5</c:v>
                </c:pt>
                <c:pt idx="176">
                  <c:v>3.52</c:v>
                </c:pt>
                <c:pt idx="177">
                  <c:v>3.54</c:v>
                </c:pt>
                <c:pt idx="178">
                  <c:v>3.56</c:v>
                </c:pt>
                <c:pt idx="179">
                  <c:v>3.58</c:v>
                </c:pt>
                <c:pt idx="180">
                  <c:v>3.6</c:v>
                </c:pt>
                <c:pt idx="181">
                  <c:v>3.62</c:v>
                </c:pt>
                <c:pt idx="182">
                  <c:v>3.64</c:v>
                </c:pt>
                <c:pt idx="183">
                  <c:v>3.66</c:v>
                </c:pt>
                <c:pt idx="184">
                  <c:v>3.68</c:v>
                </c:pt>
                <c:pt idx="185">
                  <c:v>3.7</c:v>
                </c:pt>
                <c:pt idx="186">
                  <c:v>3.72</c:v>
                </c:pt>
                <c:pt idx="187">
                  <c:v>3.74</c:v>
                </c:pt>
                <c:pt idx="188">
                  <c:v>3.76</c:v>
                </c:pt>
                <c:pt idx="189">
                  <c:v>3.78</c:v>
                </c:pt>
                <c:pt idx="190">
                  <c:v>3.8</c:v>
                </c:pt>
                <c:pt idx="191">
                  <c:v>3.82</c:v>
                </c:pt>
                <c:pt idx="192">
                  <c:v>3.84</c:v>
                </c:pt>
                <c:pt idx="193">
                  <c:v>3.86</c:v>
                </c:pt>
                <c:pt idx="194">
                  <c:v>3.88</c:v>
                </c:pt>
                <c:pt idx="195">
                  <c:v>3.9</c:v>
                </c:pt>
                <c:pt idx="196">
                  <c:v>3.92</c:v>
                </c:pt>
                <c:pt idx="197">
                  <c:v>3.94</c:v>
                </c:pt>
                <c:pt idx="198">
                  <c:v>3.96</c:v>
                </c:pt>
                <c:pt idx="199">
                  <c:v>3.98</c:v>
                </c:pt>
                <c:pt idx="200">
                  <c:v>4</c:v>
                </c:pt>
                <c:pt idx="201">
                  <c:v>4.0199999999999996</c:v>
                </c:pt>
                <c:pt idx="202">
                  <c:v>4.04</c:v>
                </c:pt>
                <c:pt idx="203">
                  <c:v>4.0599999999999996</c:v>
                </c:pt>
                <c:pt idx="204">
                  <c:v>4.08</c:v>
                </c:pt>
                <c:pt idx="205">
                  <c:v>4.0999999999999996</c:v>
                </c:pt>
                <c:pt idx="206">
                  <c:v>4.12</c:v>
                </c:pt>
                <c:pt idx="207">
                  <c:v>4.1399999999999997</c:v>
                </c:pt>
                <c:pt idx="208">
                  <c:v>4.16</c:v>
                </c:pt>
                <c:pt idx="209">
                  <c:v>4.18</c:v>
                </c:pt>
                <c:pt idx="210">
                  <c:v>4.2</c:v>
                </c:pt>
                <c:pt idx="211">
                  <c:v>4.22</c:v>
                </c:pt>
                <c:pt idx="212">
                  <c:v>4.24</c:v>
                </c:pt>
                <c:pt idx="213">
                  <c:v>4.26</c:v>
                </c:pt>
                <c:pt idx="214">
                  <c:v>4.28</c:v>
                </c:pt>
                <c:pt idx="215">
                  <c:v>4.3</c:v>
                </c:pt>
                <c:pt idx="216">
                  <c:v>4.32</c:v>
                </c:pt>
                <c:pt idx="217">
                  <c:v>4.34</c:v>
                </c:pt>
                <c:pt idx="218">
                  <c:v>4.3600000000000003</c:v>
                </c:pt>
                <c:pt idx="219">
                  <c:v>4.38</c:v>
                </c:pt>
                <c:pt idx="220">
                  <c:v>4.4000000000000004</c:v>
                </c:pt>
                <c:pt idx="221">
                  <c:v>4.42</c:v>
                </c:pt>
                <c:pt idx="222">
                  <c:v>4.4400000000000004</c:v>
                </c:pt>
                <c:pt idx="223">
                  <c:v>4.46</c:v>
                </c:pt>
                <c:pt idx="224">
                  <c:v>4.4800000000000004</c:v>
                </c:pt>
                <c:pt idx="225">
                  <c:v>4.5</c:v>
                </c:pt>
                <c:pt idx="226">
                  <c:v>4.5199999999999996</c:v>
                </c:pt>
                <c:pt idx="227">
                  <c:v>4.54</c:v>
                </c:pt>
                <c:pt idx="228">
                  <c:v>4.5599999999999996</c:v>
                </c:pt>
                <c:pt idx="229">
                  <c:v>4.58</c:v>
                </c:pt>
                <c:pt idx="230">
                  <c:v>4.5999999999999996</c:v>
                </c:pt>
                <c:pt idx="231">
                  <c:v>4.62</c:v>
                </c:pt>
                <c:pt idx="232">
                  <c:v>4.6399999999999997</c:v>
                </c:pt>
                <c:pt idx="233">
                  <c:v>4.66</c:v>
                </c:pt>
                <c:pt idx="234">
                  <c:v>4.68</c:v>
                </c:pt>
                <c:pt idx="235">
                  <c:v>4.7</c:v>
                </c:pt>
                <c:pt idx="236">
                  <c:v>4.72</c:v>
                </c:pt>
                <c:pt idx="237">
                  <c:v>4.74</c:v>
                </c:pt>
                <c:pt idx="238">
                  <c:v>4.76</c:v>
                </c:pt>
                <c:pt idx="239">
                  <c:v>4.78</c:v>
                </c:pt>
                <c:pt idx="240">
                  <c:v>4.8</c:v>
                </c:pt>
                <c:pt idx="241">
                  <c:v>4.82</c:v>
                </c:pt>
                <c:pt idx="242">
                  <c:v>4.84</c:v>
                </c:pt>
                <c:pt idx="243">
                  <c:v>4.8600000000000003</c:v>
                </c:pt>
                <c:pt idx="244">
                  <c:v>4.88</c:v>
                </c:pt>
                <c:pt idx="245">
                  <c:v>4.9000000000000004</c:v>
                </c:pt>
                <c:pt idx="246">
                  <c:v>4.92</c:v>
                </c:pt>
                <c:pt idx="247">
                  <c:v>4.9400000000000004</c:v>
                </c:pt>
                <c:pt idx="248">
                  <c:v>4.96</c:v>
                </c:pt>
                <c:pt idx="249">
                  <c:v>4.9800000000000004</c:v>
                </c:pt>
                <c:pt idx="250">
                  <c:v>5</c:v>
                </c:pt>
                <c:pt idx="251">
                  <c:v>5.0199999999999996</c:v>
                </c:pt>
                <c:pt idx="252">
                  <c:v>5.04</c:v>
                </c:pt>
                <c:pt idx="253">
                  <c:v>5.0599999999999996</c:v>
                </c:pt>
                <c:pt idx="254">
                  <c:v>5.08</c:v>
                </c:pt>
                <c:pt idx="255">
                  <c:v>5.0999999999999996</c:v>
                </c:pt>
                <c:pt idx="256">
                  <c:v>5.12</c:v>
                </c:pt>
                <c:pt idx="257">
                  <c:v>5.14</c:v>
                </c:pt>
                <c:pt idx="258">
                  <c:v>5.16</c:v>
                </c:pt>
                <c:pt idx="259">
                  <c:v>5.18</c:v>
                </c:pt>
                <c:pt idx="260">
                  <c:v>5.2</c:v>
                </c:pt>
                <c:pt idx="261">
                  <c:v>5.22</c:v>
                </c:pt>
                <c:pt idx="262">
                  <c:v>5.24</c:v>
                </c:pt>
                <c:pt idx="263">
                  <c:v>5.26</c:v>
                </c:pt>
                <c:pt idx="264">
                  <c:v>5.28</c:v>
                </c:pt>
                <c:pt idx="265">
                  <c:v>5.3</c:v>
                </c:pt>
                <c:pt idx="266">
                  <c:v>5.32</c:v>
                </c:pt>
                <c:pt idx="267">
                  <c:v>5.34</c:v>
                </c:pt>
                <c:pt idx="268">
                  <c:v>5.36</c:v>
                </c:pt>
                <c:pt idx="269">
                  <c:v>5.38</c:v>
                </c:pt>
                <c:pt idx="270">
                  <c:v>5.4</c:v>
                </c:pt>
                <c:pt idx="271">
                  <c:v>5.42</c:v>
                </c:pt>
                <c:pt idx="272">
                  <c:v>5.44</c:v>
                </c:pt>
                <c:pt idx="273">
                  <c:v>5.46</c:v>
                </c:pt>
                <c:pt idx="274">
                  <c:v>5.48</c:v>
                </c:pt>
                <c:pt idx="275">
                  <c:v>5.5</c:v>
                </c:pt>
                <c:pt idx="276">
                  <c:v>5.52</c:v>
                </c:pt>
                <c:pt idx="277">
                  <c:v>5.54</c:v>
                </c:pt>
                <c:pt idx="278">
                  <c:v>5.56</c:v>
                </c:pt>
                <c:pt idx="279">
                  <c:v>5.58</c:v>
                </c:pt>
                <c:pt idx="280">
                  <c:v>5.6</c:v>
                </c:pt>
                <c:pt idx="281">
                  <c:v>5.62</c:v>
                </c:pt>
                <c:pt idx="282">
                  <c:v>5.64</c:v>
                </c:pt>
                <c:pt idx="283">
                  <c:v>5.66</c:v>
                </c:pt>
                <c:pt idx="284">
                  <c:v>5.68</c:v>
                </c:pt>
                <c:pt idx="285">
                  <c:v>5.7</c:v>
                </c:pt>
                <c:pt idx="286">
                  <c:v>5.72</c:v>
                </c:pt>
                <c:pt idx="287">
                  <c:v>5.74</c:v>
                </c:pt>
                <c:pt idx="288">
                  <c:v>5.76</c:v>
                </c:pt>
                <c:pt idx="289">
                  <c:v>5.78</c:v>
                </c:pt>
                <c:pt idx="290">
                  <c:v>5.8</c:v>
                </c:pt>
                <c:pt idx="291">
                  <c:v>5.82</c:v>
                </c:pt>
                <c:pt idx="292">
                  <c:v>5.84</c:v>
                </c:pt>
                <c:pt idx="293">
                  <c:v>5.86</c:v>
                </c:pt>
                <c:pt idx="294">
                  <c:v>5.88</c:v>
                </c:pt>
                <c:pt idx="295">
                  <c:v>5.9</c:v>
                </c:pt>
                <c:pt idx="296">
                  <c:v>5.92</c:v>
                </c:pt>
                <c:pt idx="297">
                  <c:v>5.94</c:v>
                </c:pt>
                <c:pt idx="298">
                  <c:v>5.96</c:v>
                </c:pt>
                <c:pt idx="299">
                  <c:v>5.98</c:v>
                </c:pt>
                <c:pt idx="300">
                  <c:v>6</c:v>
                </c:pt>
                <c:pt idx="301">
                  <c:v>6.02</c:v>
                </c:pt>
                <c:pt idx="302">
                  <c:v>6.04</c:v>
                </c:pt>
                <c:pt idx="303">
                  <c:v>6.06</c:v>
                </c:pt>
                <c:pt idx="304">
                  <c:v>6.08</c:v>
                </c:pt>
                <c:pt idx="305">
                  <c:v>6.1</c:v>
                </c:pt>
                <c:pt idx="306">
                  <c:v>6.12</c:v>
                </c:pt>
                <c:pt idx="307">
                  <c:v>6.14</c:v>
                </c:pt>
                <c:pt idx="308">
                  <c:v>6.16</c:v>
                </c:pt>
                <c:pt idx="309">
                  <c:v>6.18</c:v>
                </c:pt>
                <c:pt idx="310">
                  <c:v>6.2</c:v>
                </c:pt>
                <c:pt idx="311">
                  <c:v>6.22</c:v>
                </c:pt>
                <c:pt idx="312">
                  <c:v>6.24</c:v>
                </c:pt>
                <c:pt idx="313">
                  <c:v>6.26</c:v>
                </c:pt>
                <c:pt idx="314">
                  <c:v>6.28</c:v>
                </c:pt>
                <c:pt idx="315">
                  <c:v>6.3</c:v>
                </c:pt>
                <c:pt idx="316">
                  <c:v>6.32</c:v>
                </c:pt>
                <c:pt idx="317">
                  <c:v>6.34</c:v>
                </c:pt>
                <c:pt idx="318">
                  <c:v>6.36</c:v>
                </c:pt>
                <c:pt idx="319">
                  <c:v>6.38</c:v>
                </c:pt>
                <c:pt idx="320">
                  <c:v>6.4</c:v>
                </c:pt>
                <c:pt idx="321">
                  <c:v>6.42</c:v>
                </c:pt>
                <c:pt idx="322">
                  <c:v>6.44</c:v>
                </c:pt>
                <c:pt idx="323">
                  <c:v>6.46</c:v>
                </c:pt>
                <c:pt idx="324">
                  <c:v>6.48</c:v>
                </c:pt>
                <c:pt idx="325">
                  <c:v>6.5</c:v>
                </c:pt>
                <c:pt idx="326">
                  <c:v>6.52</c:v>
                </c:pt>
                <c:pt idx="327">
                  <c:v>6.54</c:v>
                </c:pt>
                <c:pt idx="328">
                  <c:v>6.56</c:v>
                </c:pt>
                <c:pt idx="329">
                  <c:v>6.58</c:v>
                </c:pt>
                <c:pt idx="330">
                  <c:v>6.6</c:v>
                </c:pt>
                <c:pt idx="331">
                  <c:v>6.62</c:v>
                </c:pt>
                <c:pt idx="332">
                  <c:v>6.64</c:v>
                </c:pt>
                <c:pt idx="333">
                  <c:v>6.66</c:v>
                </c:pt>
                <c:pt idx="334">
                  <c:v>6.68</c:v>
                </c:pt>
                <c:pt idx="335">
                  <c:v>6.7</c:v>
                </c:pt>
                <c:pt idx="336">
                  <c:v>6.72</c:v>
                </c:pt>
                <c:pt idx="337">
                  <c:v>6.74</c:v>
                </c:pt>
                <c:pt idx="338">
                  <c:v>6.76</c:v>
                </c:pt>
                <c:pt idx="339">
                  <c:v>6.78</c:v>
                </c:pt>
                <c:pt idx="340">
                  <c:v>6.8</c:v>
                </c:pt>
                <c:pt idx="341">
                  <c:v>6.82</c:v>
                </c:pt>
                <c:pt idx="342">
                  <c:v>6.84</c:v>
                </c:pt>
                <c:pt idx="343">
                  <c:v>6.86</c:v>
                </c:pt>
                <c:pt idx="344">
                  <c:v>6.88</c:v>
                </c:pt>
                <c:pt idx="345">
                  <c:v>6.9</c:v>
                </c:pt>
                <c:pt idx="346">
                  <c:v>6.92</c:v>
                </c:pt>
                <c:pt idx="347">
                  <c:v>6.94</c:v>
                </c:pt>
                <c:pt idx="348">
                  <c:v>6.96</c:v>
                </c:pt>
                <c:pt idx="349">
                  <c:v>6.98</c:v>
                </c:pt>
                <c:pt idx="350">
                  <c:v>7</c:v>
                </c:pt>
                <c:pt idx="351">
                  <c:v>7.02</c:v>
                </c:pt>
                <c:pt idx="352">
                  <c:v>7.04</c:v>
                </c:pt>
                <c:pt idx="353">
                  <c:v>7.06</c:v>
                </c:pt>
                <c:pt idx="354">
                  <c:v>7.08</c:v>
                </c:pt>
                <c:pt idx="355">
                  <c:v>7.1</c:v>
                </c:pt>
                <c:pt idx="356">
                  <c:v>7.12</c:v>
                </c:pt>
                <c:pt idx="357">
                  <c:v>7.14</c:v>
                </c:pt>
                <c:pt idx="358">
                  <c:v>7.16</c:v>
                </c:pt>
                <c:pt idx="359">
                  <c:v>7.18</c:v>
                </c:pt>
                <c:pt idx="360">
                  <c:v>7.2</c:v>
                </c:pt>
                <c:pt idx="361">
                  <c:v>7.22</c:v>
                </c:pt>
                <c:pt idx="362">
                  <c:v>7.24</c:v>
                </c:pt>
                <c:pt idx="363">
                  <c:v>7.26</c:v>
                </c:pt>
                <c:pt idx="364">
                  <c:v>7.28</c:v>
                </c:pt>
                <c:pt idx="365">
                  <c:v>7.3</c:v>
                </c:pt>
                <c:pt idx="366">
                  <c:v>7.32</c:v>
                </c:pt>
                <c:pt idx="367">
                  <c:v>7.34</c:v>
                </c:pt>
                <c:pt idx="368">
                  <c:v>7.36</c:v>
                </c:pt>
                <c:pt idx="369">
                  <c:v>7.38</c:v>
                </c:pt>
                <c:pt idx="370">
                  <c:v>7.4</c:v>
                </c:pt>
                <c:pt idx="371">
                  <c:v>7.42</c:v>
                </c:pt>
                <c:pt idx="372">
                  <c:v>7.44</c:v>
                </c:pt>
                <c:pt idx="373">
                  <c:v>7.46</c:v>
                </c:pt>
                <c:pt idx="374">
                  <c:v>7.48</c:v>
                </c:pt>
                <c:pt idx="375">
                  <c:v>7.5</c:v>
                </c:pt>
                <c:pt idx="376">
                  <c:v>7.52</c:v>
                </c:pt>
                <c:pt idx="377">
                  <c:v>7.54</c:v>
                </c:pt>
                <c:pt idx="378">
                  <c:v>7.56</c:v>
                </c:pt>
                <c:pt idx="379">
                  <c:v>7.58</c:v>
                </c:pt>
                <c:pt idx="380">
                  <c:v>7.6</c:v>
                </c:pt>
                <c:pt idx="381">
                  <c:v>7.62</c:v>
                </c:pt>
                <c:pt idx="382">
                  <c:v>7.64</c:v>
                </c:pt>
                <c:pt idx="383">
                  <c:v>7.66</c:v>
                </c:pt>
                <c:pt idx="384">
                  <c:v>7.68</c:v>
                </c:pt>
                <c:pt idx="385">
                  <c:v>7.7</c:v>
                </c:pt>
                <c:pt idx="386">
                  <c:v>7.72</c:v>
                </c:pt>
                <c:pt idx="387">
                  <c:v>7.74</c:v>
                </c:pt>
                <c:pt idx="388">
                  <c:v>7.76</c:v>
                </c:pt>
                <c:pt idx="389">
                  <c:v>7.78</c:v>
                </c:pt>
                <c:pt idx="390">
                  <c:v>7.8</c:v>
                </c:pt>
                <c:pt idx="391">
                  <c:v>7.82</c:v>
                </c:pt>
                <c:pt idx="392">
                  <c:v>7.84</c:v>
                </c:pt>
                <c:pt idx="393">
                  <c:v>7.86</c:v>
                </c:pt>
                <c:pt idx="394">
                  <c:v>7.88</c:v>
                </c:pt>
                <c:pt idx="395">
                  <c:v>7.9</c:v>
                </c:pt>
                <c:pt idx="396">
                  <c:v>7.92</c:v>
                </c:pt>
                <c:pt idx="397">
                  <c:v>7.94</c:v>
                </c:pt>
                <c:pt idx="398">
                  <c:v>7.96</c:v>
                </c:pt>
                <c:pt idx="399">
                  <c:v>7.98</c:v>
                </c:pt>
                <c:pt idx="400">
                  <c:v>8</c:v>
                </c:pt>
                <c:pt idx="401">
                  <c:v>8.02</c:v>
                </c:pt>
                <c:pt idx="402">
                  <c:v>8.0399999999999991</c:v>
                </c:pt>
                <c:pt idx="403">
                  <c:v>8.06</c:v>
                </c:pt>
                <c:pt idx="404">
                  <c:v>8.08</c:v>
                </c:pt>
                <c:pt idx="405">
                  <c:v>8.1</c:v>
                </c:pt>
                <c:pt idx="406">
                  <c:v>8.1199999999999992</c:v>
                </c:pt>
                <c:pt idx="407">
                  <c:v>8.14</c:v>
                </c:pt>
                <c:pt idx="408">
                  <c:v>8.16</c:v>
                </c:pt>
                <c:pt idx="409">
                  <c:v>8.18</c:v>
                </c:pt>
                <c:pt idx="410">
                  <c:v>8.1999999999999993</c:v>
                </c:pt>
                <c:pt idx="411">
                  <c:v>8.2200000000000006</c:v>
                </c:pt>
                <c:pt idx="412">
                  <c:v>8.24</c:v>
                </c:pt>
                <c:pt idx="413">
                  <c:v>8.26</c:v>
                </c:pt>
                <c:pt idx="414">
                  <c:v>8.2799999999999994</c:v>
                </c:pt>
                <c:pt idx="415">
                  <c:v>8.3000000000000007</c:v>
                </c:pt>
                <c:pt idx="416">
                  <c:v>8.32</c:v>
                </c:pt>
                <c:pt idx="417">
                  <c:v>8.34</c:v>
                </c:pt>
                <c:pt idx="418">
                  <c:v>8.36</c:v>
                </c:pt>
                <c:pt idx="419">
                  <c:v>8.3800000000000008</c:v>
                </c:pt>
                <c:pt idx="420">
                  <c:v>8.4</c:v>
                </c:pt>
                <c:pt idx="421">
                  <c:v>8.42</c:v>
                </c:pt>
                <c:pt idx="422">
                  <c:v>8.44</c:v>
                </c:pt>
                <c:pt idx="423">
                  <c:v>8.4600000000000009</c:v>
                </c:pt>
                <c:pt idx="424">
                  <c:v>8.48</c:v>
                </c:pt>
                <c:pt idx="425">
                  <c:v>8.5</c:v>
                </c:pt>
                <c:pt idx="426">
                  <c:v>8.52</c:v>
                </c:pt>
                <c:pt idx="427">
                  <c:v>8.5399999999999991</c:v>
                </c:pt>
                <c:pt idx="428">
                  <c:v>8.56</c:v>
                </c:pt>
                <c:pt idx="429">
                  <c:v>8.58</c:v>
                </c:pt>
                <c:pt idx="430">
                  <c:v>8.6</c:v>
                </c:pt>
                <c:pt idx="431">
                  <c:v>8.6199999999999992</c:v>
                </c:pt>
                <c:pt idx="432">
                  <c:v>8.64</c:v>
                </c:pt>
                <c:pt idx="433">
                  <c:v>8.66</c:v>
                </c:pt>
                <c:pt idx="434">
                  <c:v>8.68</c:v>
                </c:pt>
                <c:pt idx="435">
                  <c:v>8.6999999999999993</c:v>
                </c:pt>
                <c:pt idx="436">
                  <c:v>8.7200000000000006</c:v>
                </c:pt>
                <c:pt idx="437">
                  <c:v>8.74</c:v>
                </c:pt>
                <c:pt idx="438">
                  <c:v>8.76</c:v>
                </c:pt>
                <c:pt idx="439">
                  <c:v>8.7799999999999994</c:v>
                </c:pt>
                <c:pt idx="440">
                  <c:v>8.8000000000000007</c:v>
                </c:pt>
                <c:pt idx="441">
                  <c:v>8.82</c:v>
                </c:pt>
                <c:pt idx="442">
                  <c:v>8.84</c:v>
                </c:pt>
                <c:pt idx="443">
                  <c:v>8.86</c:v>
                </c:pt>
                <c:pt idx="444">
                  <c:v>8.8800000000000008</c:v>
                </c:pt>
                <c:pt idx="445">
                  <c:v>8.9</c:v>
                </c:pt>
                <c:pt idx="446">
                  <c:v>8.92</c:v>
                </c:pt>
                <c:pt idx="447">
                  <c:v>8.94</c:v>
                </c:pt>
                <c:pt idx="448">
                  <c:v>8.9600000000000009</c:v>
                </c:pt>
                <c:pt idx="449">
                  <c:v>8.98</c:v>
                </c:pt>
                <c:pt idx="450">
                  <c:v>9</c:v>
                </c:pt>
                <c:pt idx="451">
                  <c:v>9.02</c:v>
                </c:pt>
                <c:pt idx="452">
                  <c:v>9.0399999999999991</c:v>
                </c:pt>
                <c:pt idx="453">
                  <c:v>9.06</c:v>
                </c:pt>
                <c:pt idx="454">
                  <c:v>9.08</c:v>
                </c:pt>
                <c:pt idx="455">
                  <c:v>9.1</c:v>
                </c:pt>
                <c:pt idx="456">
                  <c:v>9.1199999999999992</c:v>
                </c:pt>
                <c:pt idx="457">
                  <c:v>9.14</c:v>
                </c:pt>
                <c:pt idx="458">
                  <c:v>9.16</c:v>
                </c:pt>
                <c:pt idx="459">
                  <c:v>9.18</c:v>
                </c:pt>
                <c:pt idx="460">
                  <c:v>9.1999999999999993</c:v>
                </c:pt>
                <c:pt idx="461">
                  <c:v>9.2200000000000006</c:v>
                </c:pt>
                <c:pt idx="462">
                  <c:v>9.24</c:v>
                </c:pt>
                <c:pt idx="463">
                  <c:v>9.26</c:v>
                </c:pt>
                <c:pt idx="464">
                  <c:v>9.2799999999999994</c:v>
                </c:pt>
                <c:pt idx="465">
                  <c:v>9.3000000000000007</c:v>
                </c:pt>
                <c:pt idx="466">
                  <c:v>9.32</c:v>
                </c:pt>
                <c:pt idx="467">
                  <c:v>9.34</c:v>
                </c:pt>
                <c:pt idx="468">
                  <c:v>9.36</c:v>
                </c:pt>
                <c:pt idx="469">
                  <c:v>9.3800000000000008</c:v>
                </c:pt>
                <c:pt idx="470">
                  <c:v>9.4</c:v>
                </c:pt>
                <c:pt idx="471">
                  <c:v>9.42</c:v>
                </c:pt>
                <c:pt idx="472">
                  <c:v>9.44</c:v>
                </c:pt>
                <c:pt idx="473">
                  <c:v>9.4600000000000009</c:v>
                </c:pt>
                <c:pt idx="474">
                  <c:v>9.48</c:v>
                </c:pt>
                <c:pt idx="475">
                  <c:v>9.5</c:v>
                </c:pt>
                <c:pt idx="476">
                  <c:v>9.52</c:v>
                </c:pt>
                <c:pt idx="477">
                  <c:v>9.5399999999999991</c:v>
                </c:pt>
                <c:pt idx="478">
                  <c:v>9.56</c:v>
                </c:pt>
                <c:pt idx="479">
                  <c:v>9.58</c:v>
                </c:pt>
                <c:pt idx="480">
                  <c:v>9.6</c:v>
                </c:pt>
                <c:pt idx="481">
                  <c:v>9.6199999999999992</c:v>
                </c:pt>
                <c:pt idx="482">
                  <c:v>9.64</c:v>
                </c:pt>
                <c:pt idx="483">
                  <c:v>9.66</c:v>
                </c:pt>
                <c:pt idx="484">
                  <c:v>9.68</c:v>
                </c:pt>
                <c:pt idx="485">
                  <c:v>9.6999999999999993</c:v>
                </c:pt>
                <c:pt idx="486">
                  <c:v>9.7200000000000006</c:v>
                </c:pt>
                <c:pt idx="487">
                  <c:v>9.74</c:v>
                </c:pt>
                <c:pt idx="488">
                  <c:v>9.76</c:v>
                </c:pt>
                <c:pt idx="489">
                  <c:v>9.7799999999999994</c:v>
                </c:pt>
                <c:pt idx="490">
                  <c:v>9.8000000000000007</c:v>
                </c:pt>
                <c:pt idx="491">
                  <c:v>9.82</c:v>
                </c:pt>
                <c:pt idx="492">
                  <c:v>9.84</c:v>
                </c:pt>
                <c:pt idx="493">
                  <c:v>9.86</c:v>
                </c:pt>
                <c:pt idx="494">
                  <c:v>9.8800000000000008</c:v>
                </c:pt>
                <c:pt idx="495">
                  <c:v>9.9</c:v>
                </c:pt>
                <c:pt idx="496">
                  <c:v>9.92</c:v>
                </c:pt>
                <c:pt idx="497">
                  <c:v>9.94</c:v>
                </c:pt>
                <c:pt idx="498">
                  <c:v>9.9600000000000009</c:v>
                </c:pt>
                <c:pt idx="499">
                  <c:v>9.98</c:v>
                </c:pt>
                <c:pt idx="500">
                  <c:v>10</c:v>
                </c:pt>
                <c:pt idx="501">
                  <c:v>10.02</c:v>
                </c:pt>
                <c:pt idx="502">
                  <c:v>10.039999999999999</c:v>
                </c:pt>
                <c:pt idx="503">
                  <c:v>10.06</c:v>
                </c:pt>
                <c:pt idx="504">
                  <c:v>10.08</c:v>
                </c:pt>
                <c:pt idx="505">
                  <c:v>10.1</c:v>
                </c:pt>
                <c:pt idx="506">
                  <c:v>10.119999999999999</c:v>
                </c:pt>
                <c:pt idx="507">
                  <c:v>10.14</c:v>
                </c:pt>
                <c:pt idx="508">
                  <c:v>10.16</c:v>
                </c:pt>
                <c:pt idx="509">
                  <c:v>10.18</c:v>
                </c:pt>
                <c:pt idx="510">
                  <c:v>10.199999999999999</c:v>
                </c:pt>
                <c:pt idx="511">
                  <c:v>10.220000000000001</c:v>
                </c:pt>
                <c:pt idx="512">
                  <c:v>10.24</c:v>
                </c:pt>
                <c:pt idx="513">
                  <c:v>10.26</c:v>
                </c:pt>
                <c:pt idx="514">
                  <c:v>10.28</c:v>
                </c:pt>
                <c:pt idx="515">
                  <c:v>10.3</c:v>
                </c:pt>
                <c:pt idx="516">
                  <c:v>10.32</c:v>
                </c:pt>
                <c:pt idx="517">
                  <c:v>10.34</c:v>
                </c:pt>
                <c:pt idx="518">
                  <c:v>10.36</c:v>
                </c:pt>
                <c:pt idx="519">
                  <c:v>10.38</c:v>
                </c:pt>
                <c:pt idx="520">
                  <c:v>10.4</c:v>
                </c:pt>
                <c:pt idx="521">
                  <c:v>10.42</c:v>
                </c:pt>
                <c:pt idx="522">
                  <c:v>10.44</c:v>
                </c:pt>
                <c:pt idx="523">
                  <c:v>10.46</c:v>
                </c:pt>
                <c:pt idx="524">
                  <c:v>10.48</c:v>
                </c:pt>
                <c:pt idx="525">
                  <c:v>10.5</c:v>
                </c:pt>
                <c:pt idx="526">
                  <c:v>10.52</c:v>
                </c:pt>
                <c:pt idx="527">
                  <c:v>10.54</c:v>
                </c:pt>
                <c:pt idx="528">
                  <c:v>10.56</c:v>
                </c:pt>
                <c:pt idx="529">
                  <c:v>10.58</c:v>
                </c:pt>
                <c:pt idx="530">
                  <c:v>10.6</c:v>
                </c:pt>
                <c:pt idx="531">
                  <c:v>10.62</c:v>
                </c:pt>
                <c:pt idx="532">
                  <c:v>10.64</c:v>
                </c:pt>
                <c:pt idx="533">
                  <c:v>10.66</c:v>
                </c:pt>
                <c:pt idx="534">
                  <c:v>10.68</c:v>
                </c:pt>
                <c:pt idx="535">
                  <c:v>10.7</c:v>
                </c:pt>
                <c:pt idx="536">
                  <c:v>10.72</c:v>
                </c:pt>
                <c:pt idx="537">
                  <c:v>10.74</c:v>
                </c:pt>
                <c:pt idx="538">
                  <c:v>10.76</c:v>
                </c:pt>
                <c:pt idx="539">
                  <c:v>10.78</c:v>
                </c:pt>
                <c:pt idx="540">
                  <c:v>10.8</c:v>
                </c:pt>
                <c:pt idx="541">
                  <c:v>10.82</c:v>
                </c:pt>
                <c:pt idx="542">
                  <c:v>10.84</c:v>
                </c:pt>
                <c:pt idx="543">
                  <c:v>10.86</c:v>
                </c:pt>
                <c:pt idx="544">
                  <c:v>10.88</c:v>
                </c:pt>
                <c:pt idx="545">
                  <c:v>10.9</c:v>
                </c:pt>
                <c:pt idx="546">
                  <c:v>10.92</c:v>
                </c:pt>
                <c:pt idx="547">
                  <c:v>10.94</c:v>
                </c:pt>
                <c:pt idx="548">
                  <c:v>10.96</c:v>
                </c:pt>
                <c:pt idx="549">
                  <c:v>10.98</c:v>
                </c:pt>
                <c:pt idx="550">
                  <c:v>11</c:v>
                </c:pt>
                <c:pt idx="551">
                  <c:v>11.02</c:v>
                </c:pt>
                <c:pt idx="552">
                  <c:v>11.04</c:v>
                </c:pt>
                <c:pt idx="553">
                  <c:v>11.06</c:v>
                </c:pt>
                <c:pt idx="554">
                  <c:v>11.08</c:v>
                </c:pt>
                <c:pt idx="555">
                  <c:v>11.1</c:v>
                </c:pt>
                <c:pt idx="556">
                  <c:v>11.12</c:v>
                </c:pt>
                <c:pt idx="557">
                  <c:v>11.14</c:v>
                </c:pt>
                <c:pt idx="558">
                  <c:v>11.16</c:v>
                </c:pt>
                <c:pt idx="559">
                  <c:v>11.18</c:v>
                </c:pt>
                <c:pt idx="560">
                  <c:v>11.2</c:v>
                </c:pt>
                <c:pt idx="561">
                  <c:v>11.22</c:v>
                </c:pt>
                <c:pt idx="562">
                  <c:v>11.24</c:v>
                </c:pt>
                <c:pt idx="563">
                  <c:v>11.26</c:v>
                </c:pt>
                <c:pt idx="564">
                  <c:v>11.28</c:v>
                </c:pt>
                <c:pt idx="565">
                  <c:v>11.3</c:v>
                </c:pt>
                <c:pt idx="566">
                  <c:v>11.32</c:v>
                </c:pt>
                <c:pt idx="567">
                  <c:v>11.34</c:v>
                </c:pt>
                <c:pt idx="568">
                  <c:v>11.36</c:v>
                </c:pt>
                <c:pt idx="569">
                  <c:v>11.38</c:v>
                </c:pt>
                <c:pt idx="570">
                  <c:v>11.4</c:v>
                </c:pt>
                <c:pt idx="571">
                  <c:v>11.42</c:v>
                </c:pt>
                <c:pt idx="572">
                  <c:v>11.44</c:v>
                </c:pt>
                <c:pt idx="573">
                  <c:v>11.46</c:v>
                </c:pt>
                <c:pt idx="574">
                  <c:v>11.48</c:v>
                </c:pt>
                <c:pt idx="575">
                  <c:v>11.5</c:v>
                </c:pt>
                <c:pt idx="576">
                  <c:v>11.52</c:v>
                </c:pt>
                <c:pt idx="577">
                  <c:v>11.54</c:v>
                </c:pt>
                <c:pt idx="578">
                  <c:v>11.56</c:v>
                </c:pt>
                <c:pt idx="579">
                  <c:v>11.58</c:v>
                </c:pt>
                <c:pt idx="580">
                  <c:v>11.6</c:v>
                </c:pt>
                <c:pt idx="581">
                  <c:v>11.62</c:v>
                </c:pt>
                <c:pt idx="582">
                  <c:v>11.64</c:v>
                </c:pt>
                <c:pt idx="583">
                  <c:v>11.66</c:v>
                </c:pt>
                <c:pt idx="584">
                  <c:v>11.68</c:v>
                </c:pt>
                <c:pt idx="585">
                  <c:v>11.7</c:v>
                </c:pt>
                <c:pt idx="586">
                  <c:v>11.72</c:v>
                </c:pt>
                <c:pt idx="587">
                  <c:v>11.74</c:v>
                </c:pt>
                <c:pt idx="588">
                  <c:v>11.76</c:v>
                </c:pt>
                <c:pt idx="589">
                  <c:v>11.78</c:v>
                </c:pt>
                <c:pt idx="590">
                  <c:v>11.8</c:v>
                </c:pt>
                <c:pt idx="591">
                  <c:v>11.82</c:v>
                </c:pt>
                <c:pt idx="592">
                  <c:v>11.84</c:v>
                </c:pt>
                <c:pt idx="593">
                  <c:v>11.86</c:v>
                </c:pt>
                <c:pt idx="594">
                  <c:v>11.88</c:v>
                </c:pt>
                <c:pt idx="595">
                  <c:v>11.9</c:v>
                </c:pt>
                <c:pt idx="596">
                  <c:v>11.92</c:v>
                </c:pt>
                <c:pt idx="597">
                  <c:v>11.94</c:v>
                </c:pt>
                <c:pt idx="598">
                  <c:v>11.96</c:v>
                </c:pt>
                <c:pt idx="599">
                  <c:v>11.98</c:v>
                </c:pt>
                <c:pt idx="600">
                  <c:v>12</c:v>
                </c:pt>
                <c:pt idx="601">
                  <c:v>12.02</c:v>
                </c:pt>
                <c:pt idx="602">
                  <c:v>12.04</c:v>
                </c:pt>
                <c:pt idx="603">
                  <c:v>12.06</c:v>
                </c:pt>
                <c:pt idx="604">
                  <c:v>12.08</c:v>
                </c:pt>
                <c:pt idx="605">
                  <c:v>12.1</c:v>
                </c:pt>
                <c:pt idx="606">
                  <c:v>12.12</c:v>
                </c:pt>
                <c:pt idx="607">
                  <c:v>12.14</c:v>
                </c:pt>
                <c:pt idx="608">
                  <c:v>12.16</c:v>
                </c:pt>
                <c:pt idx="609">
                  <c:v>12.18</c:v>
                </c:pt>
                <c:pt idx="610">
                  <c:v>12.2</c:v>
                </c:pt>
                <c:pt idx="611">
                  <c:v>12.22</c:v>
                </c:pt>
                <c:pt idx="612">
                  <c:v>12.24</c:v>
                </c:pt>
                <c:pt idx="613">
                  <c:v>12.26</c:v>
                </c:pt>
                <c:pt idx="614">
                  <c:v>12.28</c:v>
                </c:pt>
                <c:pt idx="615">
                  <c:v>12.3</c:v>
                </c:pt>
                <c:pt idx="616">
                  <c:v>12.32</c:v>
                </c:pt>
                <c:pt idx="617">
                  <c:v>12.34</c:v>
                </c:pt>
                <c:pt idx="618">
                  <c:v>12.36</c:v>
                </c:pt>
                <c:pt idx="619">
                  <c:v>12.38</c:v>
                </c:pt>
                <c:pt idx="620">
                  <c:v>12.4</c:v>
                </c:pt>
                <c:pt idx="621">
                  <c:v>12.42</c:v>
                </c:pt>
                <c:pt idx="622">
                  <c:v>12.44</c:v>
                </c:pt>
                <c:pt idx="623">
                  <c:v>12.46</c:v>
                </c:pt>
                <c:pt idx="624">
                  <c:v>12.48</c:v>
                </c:pt>
                <c:pt idx="625">
                  <c:v>12.5</c:v>
                </c:pt>
                <c:pt idx="626">
                  <c:v>12.52</c:v>
                </c:pt>
                <c:pt idx="627">
                  <c:v>12.54</c:v>
                </c:pt>
                <c:pt idx="628">
                  <c:v>12.56</c:v>
                </c:pt>
                <c:pt idx="629">
                  <c:v>12.58</c:v>
                </c:pt>
                <c:pt idx="630">
                  <c:v>12.6</c:v>
                </c:pt>
                <c:pt idx="631">
                  <c:v>12.62</c:v>
                </c:pt>
                <c:pt idx="632">
                  <c:v>12.64</c:v>
                </c:pt>
                <c:pt idx="633">
                  <c:v>12.66</c:v>
                </c:pt>
                <c:pt idx="634">
                  <c:v>12.68</c:v>
                </c:pt>
                <c:pt idx="635">
                  <c:v>12.7</c:v>
                </c:pt>
                <c:pt idx="636">
                  <c:v>12.72</c:v>
                </c:pt>
                <c:pt idx="637">
                  <c:v>12.74</c:v>
                </c:pt>
                <c:pt idx="638">
                  <c:v>12.76</c:v>
                </c:pt>
                <c:pt idx="639">
                  <c:v>12.78</c:v>
                </c:pt>
                <c:pt idx="640">
                  <c:v>12.8</c:v>
                </c:pt>
                <c:pt idx="641">
                  <c:v>12.82</c:v>
                </c:pt>
                <c:pt idx="642">
                  <c:v>12.84</c:v>
                </c:pt>
                <c:pt idx="643">
                  <c:v>12.86</c:v>
                </c:pt>
                <c:pt idx="644">
                  <c:v>12.88</c:v>
                </c:pt>
                <c:pt idx="645">
                  <c:v>12.9</c:v>
                </c:pt>
                <c:pt idx="646">
                  <c:v>12.92</c:v>
                </c:pt>
                <c:pt idx="647">
                  <c:v>12.94</c:v>
                </c:pt>
                <c:pt idx="648">
                  <c:v>12.96</c:v>
                </c:pt>
                <c:pt idx="649">
                  <c:v>12.98</c:v>
                </c:pt>
                <c:pt idx="650">
                  <c:v>13</c:v>
                </c:pt>
                <c:pt idx="651">
                  <c:v>13.02</c:v>
                </c:pt>
                <c:pt idx="652">
                  <c:v>13.04</c:v>
                </c:pt>
                <c:pt idx="653">
                  <c:v>13.06</c:v>
                </c:pt>
                <c:pt idx="654">
                  <c:v>13.08</c:v>
                </c:pt>
                <c:pt idx="655">
                  <c:v>13.1</c:v>
                </c:pt>
                <c:pt idx="656">
                  <c:v>13.12</c:v>
                </c:pt>
                <c:pt idx="657">
                  <c:v>13.14</c:v>
                </c:pt>
                <c:pt idx="658">
                  <c:v>13.16</c:v>
                </c:pt>
                <c:pt idx="659">
                  <c:v>13.18</c:v>
                </c:pt>
                <c:pt idx="660">
                  <c:v>13.2</c:v>
                </c:pt>
                <c:pt idx="661">
                  <c:v>13.22</c:v>
                </c:pt>
                <c:pt idx="662">
                  <c:v>13.24</c:v>
                </c:pt>
                <c:pt idx="663">
                  <c:v>13.26</c:v>
                </c:pt>
                <c:pt idx="664">
                  <c:v>13.28</c:v>
                </c:pt>
                <c:pt idx="665">
                  <c:v>13.3</c:v>
                </c:pt>
                <c:pt idx="666">
                  <c:v>13.32</c:v>
                </c:pt>
                <c:pt idx="667">
                  <c:v>13.34</c:v>
                </c:pt>
                <c:pt idx="668">
                  <c:v>13.36</c:v>
                </c:pt>
                <c:pt idx="669">
                  <c:v>13.38</c:v>
                </c:pt>
                <c:pt idx="670">
                  <c:v>13.4</c:v>
                </c:pt>
                <c:pt idx="671">
                  <c:v>13.42</c:v>
                </c:pt>
                <c:pt idx="672">
                  <c:v>13.44</c:v>
                </c:pt>
                <c:pt idx="673">
                  <c:v>13.46</c:v>
                </c:pt>
                <c:pt idx="674">
                  <c:v>13.48</c:v>
                </c:pt>
                <c:pt idx="675">
                  <c:v>13.5</c:v>
                </c:pt>
                <c:pt idx="676">
                  <c:v>13.52</c:v>
                </c:pt>
                <c:pt idx="677">
                  <c:v>13.54</c:v>
                </c:pt>
                <c:pt idx="678">
                  <c:v>13.56</c:v>
                </c:pt>
                <c:pt idx="679">
                  <c:v>13.58</c:v>
                </c:pt>
                <c:pt idx="680">
                  <c:v>13.6</c:v>
                </c:pt>
                <c:pt idx="681">
                  <c:v>13.62</c:v>
                </c:pt>
                <c:pt idx="682">
                  <c:v>13.64</c:v>
                </c:pt>
                <c:pt idx="683">
                  <c:v>13.66</c:v>
                </c:pt>
                <c:pt idx="684">
                  <c:v>13.68</c:v>
                </c:pt>
                <c:pt idx="685">
                  <c:v>13.7</c:v>
                </c:pt>
                <c:pt idx="686">
                  <c:v>13.72</c:v>
                </c:pt>
                <c:pt idx="687">
                  <c:v>13.74</c:v>
                </c:pt>
                <c:pt idx="688">
                  <c:v>13.76</c:v>
                </c:pt>
                <c:pt idx="689">
                  <c:v>13.78</c:v>
                </c:pt>
                <c:pt idx="690">
                  <c:v>13.8</c:v>
                </c:pt>
                <c:pt idx="691">
                  <c:v>13.82</c:v>
                </c:pt>
                <c:pt idx="692">
                  <c:v>13.84</c:v>
                </c:pt>
                <c:pt idx="693">
                  <c:v>13.86</c:v>
                </c:pt>
                <c:pt idx="694">
                  <c:v>13.88</c:v>
                </c:pt>
                <c:pt idx="695">
                  <c:v>13.9</c:v>
                </c:pt>
                <c:pt idx="696">
                  <c:v>13.92</c:v>
                </c:pt>
                <c:pt idx="697">
                  <c:v>13.94</c:v>
                </c:pt>
                <c:pt idx="698">
                  <c:v>13.96</c:v>
                </c:pt>
                <c:pt idx="699">
                  <c:v>13.98</c:v>
                </c:pt>
                <c:pt idx="700">
                  <c:v>14</c:v>
                </c:pt>
                <c:pt idx="701">
                  <c:v>14.02</c:v>
                </c:pt>
                <c:pt idx="702">
                  <c:v>14.04</c:v>
                </c:pt>
                <c:pt idx="703">
                  <c:v>14.06</c:v>
                </c:pt>
                <c:pt idx="704">
                  <c:v>14.08</c:v>
                </c:pt>
                <c:pt idx="705">
                  <c:v>14.1</c:v>
                </c:pt>
                <c:pt idx="706">
                  <c:v>14.12</c:v>
                </c:pt>
                <c:pt idx="707">
                  <c:v>14.14</c:v>
                </c:pt>
                <c:pt idx="708">
                  <c:v>14.16</c:v>
                </c:pt>
                <c:pt idx="709">
                  <c:v>14.18</c:v>
                </c:pt>
                <c:pt idx="710">
                  <c:v>14.2</c:v>
                </c:pt>
                <c:pt idx="711">
                  <c:v>14.22</c:v>
                </c:pt>
                <c:pt idx="712">
                  <c:v>14.24</c:v>
                </c:pt>
                <c:pt idx="713">
                  <c:v>14.26</c:v>
                </c:pt>
                <c:pt idx="714">
                  <c:v>14.28</c:v>
                </c:pt>
                <c:pt idx="715">
                  <c:v>14.3</c:v>
                </c:pt>
                <c:pt idx="716">
                  <c:v>14.32</c:v>
                </c:pt>
                <c:pt idx="717">
                  <c:v>14.34</c:v>
                </c:pt>
                <c:pt idx="718">
                  <c:v>14.36</c:v>
                </c:pt>
                <c:pt idx="719">
                  <c:v>14.38</c:v>
                </c:pt>
                <c:pt idx="720">
                  <c:v>14.4</c:v>
                </c:pt>
                <c:pt idx="721">
                  <c:v>14.42</c:v>
                </c:pt>
                <c:pt idx="722">
                  <c:v>14.44</c:v>
                </c:pt>
                <c:pt idx="723">
                  <c:v>14.46</c:v>
                </c:pt>
                <c:pt idx="724">
                  <c:v>14.48</c:v>
                </c:pt>
                <c:pt idx="725">
                  <c:v>14.5</c:v>
                </c:pt>
                <c:pt idx="726">
                  <c:v>14.52</c:v>
                </c:pt>
                <c:pt idx="727">
                  <c:v>14.54</c:v>
                </c:pt>
                <c:pt idx="728">
                  <c:v>14.56</c:v>
                </c:pt>
                <c:pt idx="729">
                  <c:v>14.58</c:v>
                </c:pt>
                <c:pt idx="730">
                  <c:v>14.6</c:v>
                </c:pt>
                <c:pt idx="731">
                  <c:v>14.62</c:v>
                </c:pt>
                <c:pt idx="732">
                  <c:v>14.64</c:v>
                </c:pt>
                <c:pt idx="733">
                  <c:v>14.66</c:v>
                </c:pt>
                <c:pt idx="734">
                  <c:v>14.68</c:v>
                </c:pt>
                <c:pt idx="735">
                  <c:v>14.7</c:v>
                </c:pt>
                <c:pt idx="736">
                  <c:v>14.72</c:v>
                </c:pt>
                <c:pt idx="737">
                  <c:v>14.74</c:v>
                </c:pt>
                <c:pt idx="738">
                  <c:v>14.76</c:v>
                </c:pt>
                <c:pt idx="739">
                  <c:v>14.78</c:v>
                </c:pt>
                <c:pt idx="740">
                  <c:v>14.8</c:v>
                </c:pt>
                <c:pt idx="741">
                  <c:v>14.82</c:v>
                </c:pt>
                <c:pt idx="742">
                  <c:v>14.84</c:v>
                </c:pt>
                <c:pt idx="743">
                  <c:v>14.86</c:v>
                </c:pt>
                <c:pt idx="744">
                  <c:v>14.88</c:v>
                </c:pt>
                <c:pt idx="745">
                  <c:v>14.9</c:v>
                </c:pt>
                <c:pt idx="746">
                  <c:v>14.92</c:v>
                </c:pt>
                <c:pt idx="747">
                  <c:v>14.94</c:v>
                </c:pt>
                <c:pt idx="748">
                  <c:v>14.96</c:v>
                </c:pt>
                <c:pt idx="749">
                  <c:v>14.98</c:v>
                </c:pt>
                <c:pt idx="750">
                  <c:v>15</c:v>
                </c:pt>
                <c:pt idx="751">
                  <c:v>15.02</c:v>
                </c:pt>
                <c:pt idx="752">
                  <c:v>15.04</c:v>
                </c:pt>
                <c:pt idx="753">
                  <c:v>15.06</c:v>
                </c:pt>
                <c:pt idx="754">
                  <c:v>15.08</c:v>
                </c:pt>
                <c:pt idx="755">
                  <c:v>15.1</c:v>
                </c:pt>
                <c:pt idx="756">
                  <c:v>15.12</c:v>
                </c:pt>
                <c:pt idx="757">
                  <c:v>15.14</c:v>
                </c:pt>
                <c:pt idx="758">
                  <c:v>15.16</c:v>
                </c:pt>
                <c:pt idx="759">
                  <c:v>15.18</c:v>
                </c:pt>
                <c:pt idx="760">
                  <c:v>15.2</c:v>
                </c:pt>
                <c:pt idx="761">
                  <c:v>15.22</c:v>
                </c:pt>
                <c:pt idx="762">
                  <c:v>15.24</c:v>
                </c:pt>
                <c:pt idx="763">
                  <c:v>15.26</c:v>
                </c:pt>
                <c:pt idx="764">
                  <c:v>15.28</c:v>
                </c:pt>
                <c:pt idx="765">
                  <c:v>15.3</c:v>
                </c:pt>
                <c:pt idx="766">
                  <c:v>15.32</c:v>
                </c:pt>
                <c:pt idx="767">
                  <c:v>15.34</c:v>
                </c:pt>
                <c:pt idx="768">
                  <c:v>15.36</c:v>
                </c:pt>
                <c:pt idx="769">
                  <c:v>15.38</c:v>
                </c:pt>
                <c:pt idx="770">
                  <c:v>15.4</c:v>
                </c:pt>
                <c:pt idx="771">
                  <c:v>15.42</c:v>
                </c:pt>
                <c:pt idx="772">
                  <c:v>15.44</c:v>
                </c:pt>
                <c:pt idx="773">
                  <c:v>15.46</c:v>
                </c:pt>
                <c:pt idx="774">
                  <c:v>15.48</c:v>
                </c:pt>
                <c:pt idx="775">
                  <c:v>15.5</c:v>
                </c:pt>
                <c:pt idx="776">
                  <c:v>15.52</c:v>
                </c:pt>
                <c:pt idx="777">
                  <c:v>15.54</c:v>
                </c:pt>
                <c:pt idx="778">
                  <c:v>15.56</c:v>
                </c:pt>
                <c:pt idx="779">
                  <c:v>15.58</c:v>
                </c:pt>
                <c:pt idx="780">
                  <c:v>15.6</c:v>
                </c:pt>
                <c:pt idx="781">
                  <c:v>15.62</c:v>
                </c:pt>
                <c:pt idx="782">
                  <c:v>15.64</c:v>
                </c:pt>
                <c:pt idx="783">
                  <c:v>15.66</c:v>
                </c:pt>
                <c:pt idx="784">
                  <c:v>15.68</c:v>
                </c:pt>
                <c:pt idx="785">
                  <c:v>15.7</c:v>
                </c:pt>
                <c:pt idx="786">
                  <c:v>15.72</c:v>
                </c:pt>
                <c:pt idx="787">
                  <c:v>15.74</c:v>
                </c:pt>
                <c:pt idx="788">
                  <c:v>15.76</c:v>
                </c:pt>
                <c:pt idx="789">
                  <c:v>15.78</c:v>
                </c:pt>
                <c:pt idx="790">
                  <c:v>15.8</c:v>
                </c:pt>
                <c:pt idx="791">
                  <c:v>15.82</c:v>
                </c:pt>
                <c:pt idx="792">
                  <c:v>15.84</c:v>
                </c:pt>
                <c:pt idx="793">
                  <c:v>15.86</c:v>
                </c:pt>
                <c:pt idx="794">
                  <c:v>15.88</c:v>
                </c:pt>
                <c:pt idx="795">
                  <c:v>15.9</c:v>
                </c:pt>
                <c:pt idx="796">
                  <c:v>15.92</c:v>
                </c:pt>
                <c:pt idx="797">
                  <c:v>15.94</c:v>
                </c:pt>
                <c:pt idx="798">
                  <c:v>15.96</c:v>
                </c:pt>
                <c:pt idx="799">
                  <c:v>15.98</c:v>
                </c:pt>
                <c:pt idx="800">
                  <c:v>16</c:v>
                </c:pt>
                <c:pt idx="801">
                  <c:v>16.02</c:v>
                </c:pt>
                <c:pt idx="802">
                  <c:v>16.04</c:v>
                </c:pt>
                <c:pt idx="803">
                  <c:v>16.059999999999999</c:v>
                </c:pt>
                <c:pt idx="804">
                  <c:v>16.079999999999998</c:v>
                </c:pt>
                <c:pt idx="805">
                  <c:v>16.100000000000001</c:v>
                </c:pt>
                <c:pt idx="806">
                  <c:v>16.12</c:v>
                </c:pt>
                <c:pt idx="807">
                  <c:v>16.14</c:v>
                </c:pt>
                <c:pt idx="808">
                  <c:v>16.16</c:v>
                </c:pt>
                <c:pt idx="809">
                  <c:v>16.18</c:v>
                </c:pt>
                <c:pt idx="810">
                  <c:v>16.2</c:v>
                </c:pt>
                <c:pt idx="811">
                  <c:v>16.22</c:v>
                </c:pt>
                <c:pt idx="812">
                  <c:v>16.239999999999998</c:v>
                </c:pt>
                <c:pt idx="813">
                  <c:v>16.260000000000002</c:v>
                </c:pt>
                <c:pt idx="814">
                  <c:v>16.28</c:v>
                </c:pt>
                <c:pt idx="815">
                  <c:v>16.3</c:v>
                </c:pt>
                <c:pt idx="816">
                  <c:v>16.32</c:v>
                </c:pt>
                <c:pt idx="817">
                  <c:v>16.34</c:v>
                </c:pt>
                <c:pt idx="818">
                  <c:v>16.36</c:v>
                </c:pt>
                <c:pt idx="819">
                  <c:v>16.38</c:v>
                </c:pt>
                <c:pt idx="820">
                  <c:v>16.399999999999999</c:v>
                </c:pt>
                <c:pt idx="821">
                  <c:v>16.420000000000002</c:v>
                </c:pt>
                <c:pt idx="822">
                  <c:v>16.440000000000001</c:v>
                </c:pt>
                <c:pt idx="823">
                  <c:v>16.46</c:v>
                </c:pt>
                <c:pt idx="824">
                  <c:v>16.48</c:v>
                </c:pt>
                <c:pt idx="825">
                  <c:v>16.5</c:v>
                </c:pt>
                <c:pt idx="826">
                  <c:v>16.52</c:v>
                </c:pt>
                <c:pt idx="827">
                  <c:v>16.54</c:v>
                </c:pt>
                <c:pt idx="828">
                  <c:v>16.559999999999999</c:v>
                </c:pt>
                <c:pt idx="829">
                  <c:v>16.579999999999998</c:v>
                </c:pt>
                <c:pt idx="830">
                  <c:v>16.600000000000001</c:v>
                </c:pt>
                <c:pt idx="831">
                  <c:v>16.62</c:v>
                </c:pt>
                <c:pt idx="832">
                  <c:v>16.64</c:v>
                </c:pt>
                <c:pt idx="833">
                  <c:v>16.66</c:v>
                </c:pt>
                <c:pt idx="834">
                  <c:v>16.68</c:v>
                </c:pt>
                <c:pt idx="835">
                  <c:v>16.7</c:v>
                </c:pt>
                <c:pt idx="836">
                  <c:v>16.72</c:v>
                </c:pt>
                <c:pt idx="837">
                  <c:v>16.739999999999998</c:v>
                </c:pt>
                <c:pt idx="838">
                  <c:v>16.760000000000002</c:v>
                </c:pt>
                <c:pt idx="839">
                  <c:v>16.78</c:v>
                </c:pt>
                <c:pt idx="840">
                  <c:v>16.8</c:v>
                </c:pt>
                <c:pt idx="841">
                  <c:v>16.82</c:v>
                </c:pt>
                <c:pt idx="842">
                  <c:v>16.84</c:v>
                </c:pt>
                <c:pt idx="843">
                  <c:v>16.86</c:v>
                </c:pt>
                <c:pt idx="844">
                  <c:v>16.88</c:v>
                </c:pt>
                <c:pt idx="845">
                  <c:v>16.899999999999999</c:v>
                </c:pt>
                <c:pt idx="846">
                  <c:v>16.920000000000002</c:v>
                </c:pt>
                <c:pt idx="847">
                  <c:v>16.940000000000001</c:v>
                </c:pt>
                <c:pt idx="848">
                  <c:v>16.96</c:v>
                </c:pt>
                <c:pt idx="849">
                  <c:v>16.98</c:v>
                </c:pt>
                <c:pt idx="850">
                  <c:v>17</c:v>
                </c:pt>
                <c:pt idx="851">
                  <c:v>17.02</c:v>
                </c:pt>
                <c:pt idx="852">
                  <c:v>17.04</c:v>
                </c:pt>
                <c:pt idx="853">
                  <c:v>17.059999999999999</c:v>
                </c:pt>
                <c:pt idx="854">
                  <c:v>17.079999999999998</c:v>
                </c:pt>
                <c:pt idx="855">
                  <c:v>17.100000000000001</c:v>
                </c:pt>
                <c:pt idx="856">
                  <c:v>17.12</c:v>
                </c:pt>
                <c:pt idx="857">
                  <c:v>17.14</c:v>
                </c:pt>
                <c:pt idx="858">
                  <c:v>17.16</c:v>
                </c:pt>
                <c:pt idx="859">
                  <c:v>17.18</c:v>
                </c:pt>
                <c:pt idx="860">
                  <c:v>17.2</c:v>
                </c:pt>
                <c:pt idx="861">
                  <c:v>17.22</c:v>
                </c:pt>
                <c:pt idx="862">
                  <c:v>17.239999999999998</c:v>
                </c:pt>
                <c:pt idx="863">
                  <c:v>17.260000000000002</c:v>
                </c:pt>
                <c:pt idx="864">
                  <c:v>17.28</c:v>
                </c:pt>
                <c:pt idx="865">
                  <c:v>17.3</c:v>
                </c:pt>
                <c:pt idx="866">
                  <c:v>17.32</c:v>
                </c:pt>
                <c:pt idx="867">
                  <c:v>17.34</c:v>
                </c:pt>
                <c:pt idx="868">
                  <c:v>17.36</c:v>
                </c:pt>
                <c:pt idx="869">
                  <c:v>17.38</c:v>
                </c:pt>
                <c:pt idx="870">
                  <c:v>17.399999999999999</c:v>
                </c:pt>
                <c:pt idx="871">
                  <c:v>17.420000000000002</c:v>
                </c:pt>
                <c:pt idx="872">
                  <c:v>17.440000000000001</c:v>
                </c:pt>
                <c:pt idx="873">
                  <c:v>17.46</c:v>
                </c:pt>
                <c:pt idx="874">
                  <c:v>17.48</c:v>
                </c:pt>
                <c:pt idx="875">
                  <c:v>17.5</c:v>
                </c:pt>
                <c:pt idx="876">
                  <c:v>17.52</c:v>
                </c:pt>
                <c:pt idx="877">
                  <c:v>17.54</c:v>
                </c:pt>
                <c:pt idx="878">
                  <c:v>17.559999999999999</c:v>
                </c:pt>
                <c:pt idx="879">
                  <c:v>17.579999999999998</c:v>
                </c:pt>
                <c:pt idx="880">
                  <c:v>17.600000000000001</c:v>
                </c:pt>
                <c:pt idx="881">
                  <c:v>17.62</c:v>
                </c:pt>
                <c:pt idx="882">
                  <c:v>17.64</c:v>
                </c:pt>
                <c:pt idx="883">
                  <c:v>17.66</c:v>
                </c:pt>
                <c:pt idx="884">
                  <c:v>17.68</c:v>
                </c:pt>
                <c:pt idx="885">
                  <c:v>17.7</c:v>
                </c:pt>
                <c:pt idx="886">
                  <c:v>17.72</c:v>
                </c:pt>
                <c:pt idx="887">
                  <c:v>17.739999999999998</c:v>
                </c:pt>
                <c:pt idx="888">
                  <c:v>17.760000000000002</c:v>
                </c:pt>
                <c:pt idx="889">
                  <c:v>17.78</c:v>
                </c:pt>
                <c:pt idx="890">
                  <c:v>17.8</c:v>
                </c:pt>
                <c:pt idx="891">
                  <c:v>17.82</c:v>
                </c:pt>
                <c:pt idx="892">
                  <c:v>17.84</c:v>
                </c:pt>
                <c:pt idx="893">
                  <c:v>17.86</c:v>
                </c:pt>
                <c:pt idx="894">
                  <c:v>17.88</c:v>
                </c:pt>
                <c:pt idx="895">
                  <c:v>17.899999999999999</c:v>
                </c:pt>
                <c:pt idx="896">
                  <c:v>17.920000000000002</c:v>
                </c:pt>
                <c:pt idx="897">
                  <c:v>17.940000000000001</c:v>
                </c:pt>
                <c:pt idx="898">
                  <c:v>17.96</c:v>
                </c:pt>
                <c:pt idx="899">
                  <c:v>17.98</c:v>
                </c:pt>
                <c:pt idx="900">
                  <c:v>18</c:v>
                </c:pt>
                <c:pt idx="901">
                  <c:v>18.02</c:v>
                </c:pt>
                <c:pt idx="902">
                  <c:v>18.04</c:v>
                </c:pt>
                <c:pt idx="903">
                  <c:v>18.059999999999999</c:v>
                </c:pt>
                <c:pt idx="904">
                  <c:v>18.079999999999998</c:v>
                </c:pt>
                <c:pt idx="905">
                  <c:v>18.100000000000001</c:v>
                </c:pt>
                <c:pt idx="906">
                  <c:v>18.12</c:v>
                </c:pt>
                <c:pt idx="907">
                  <c:v>18.14</c:v>
                </c:pt>
                <c:pt idx="908">
                  <c:v>18.16</c:v>
                </c:pt>
                <c:pt idx="909">
                  <c:v>18.18</c:v>
                </c:pt>
                <c:pt idx="910">
                  <c:v>18.2</c:v>
                </c:pt>
                <c:pt idx="911">
                  <c:v>18.22</c:v>
                </c:pt>
                <c:pt idx="912">
                  <c:v>18.239999999999998</c:v>
                </c:pt>
                <c:pt idx="913">
                  <c:v>18.260000000000002</c:v>
                </c:pt>
                <c:pt idx="914">
                  <c:v>18.28</c:v>
                </c:pt>
                <c:pt idx="915">
                  <c:v>18.3</c:v>
                </c:pt>
                <c:pt idx="916">
                  <c:v>18.32</c:v>
                </c:pt>
                <c:pt idx="917">
                  <c:v>18.34</c:v>
                </c:pt>
                <c:pt idx="918">
                  <c:v>18.36</c:v>
                </c:pt>
                <c:pt idx="919">
                  <c:v>18.38</c:v>
                </c:pt>
                <c:pt idx="920">
                  <c:v>18.399999999999999</c:v>
                </c:pt>
                <c:pt idx="921">
                  <c:v>18.420000000000002</c:v>
                </c:pt>
                <c:pt idx="922">
                  <c:v>18.440000000000001</c:v>
                </c:pt>
                <c:pt idx="923">
                  <c:v>18.46</c:v>
                </c:pt>
                <c:pt idx="924">
                  <c:v>18.48</c:v>
                </c:pt>
                <c:pt idx="925">
                  <c:v>18.5</c:v>
                </c:pt>
                <c:pt idx="926">
                  <c:v>18.52</c:v>
                </c:pt>
                <c:pt idx="927">
                  <c:v>18.54</c:v>
                </c:pt>
                <c:pt idx="928">
                  <c:v>18.559999999999999</c:v>
                </c:pt>
                <c:pt idx="929">
                  <c:v>18.579999999999998</c:v>
                </c:pt>
                <c:pt idx="930">
                  <c:v>18.600000000000001</c:v>
                </c:pt>
                <c:pt idx="931">
                  <c:v>18.62</c:v>
                </c:pt>
                <c:pt idx="932">
                  <c:v>18.64</c:v>
                </c:pt>
                <c:pt idx="933">
                  <c:v>18.66</c:v>
                </c:pt>
                <c:pt idx="934">
                  <c:v>18.68</c:v>
                </c:pt>
                <c:pt idx="935">
                  <c:v>18.7</c:v>
                </c:pt>
                <c:pt idx="936">
                  <c:v>18.72</c:v>
                </c:pt>
                <c:pt idx="937">
                  <c:v>18.739999999999998</c:v>
                </c:pt>
                <c:pt idx="938">
                  <c:v>18.760000000000002</c:v>
                </c:pt>
                <c:pt idx="939">
                  <c:v>18.78</c:v>
                </c:pt>
                <c:pt idx="940">
                  <c:v>18.8</c:v>
                </c:pt>
                <c:pt idx="941">
                  <c:v>18.82</c:v>
                </c:pt>
                <c:pt idx="942">
                  <c:v>18.84</c:v>
                </c:pt>
                <c:pt idx="943">
                  <c:v>18.86</c:v>
                </c:pt>
                <c:pt idx="944">
                  <c:v>18.88</c:v>
                </c:pt>
                <c:pt idx="945">
                  <c:v>18.899999999999999</c:v>
                </c:pt>
                <c:pt idx="946">
                  <c:v>18.920000000000002</c:v>
                </c:pt>
                <c:pt idx="947">
                  <c:v>18.940000000000001</c:v>
                </c:pt>
                <c:pt idx="948">
                  <c:v>18.96</c:v>
                </c:pt>
                <c:pt idx="949">
                  <c:v>18.98</c:v>
                </c:pt>
                <c:pt idx="950">
                  <c:v>19</c:v>
                </c:pt>
                <c:pt idx="951">
                  <c:v>19.02</c:v>
                </c:pt>
                <c:pt idx="952">
                  <c:v>19.04</c:v>
                </c:pt>
                <c:pt idx="953">
                  <c:v>19.059999999999999</c:v>
                </c:pt>
                <c:pt idx="954">
                  <c:v>19.079999999999998</c:v>
                </c:pt>
                <c:pt idx="955">
                  <c:v>19.100000000000001</c:v>
                </c:pt>
                <c:pt idx="956">
                  <c:v>19.12</c:v>
                </c:pt>
                <c:pt idx="957">
                  <c:v>19.14</c:v>
                </c:pt>
                <c:pt idx="958">
                  <c:v>19.16</c:v>
                </c:pt>
                <c:pt idx="959">
                  <c:v>19.18</c:v>
                </c:pt>
                <c:pt idx="960">
                  <c:v>19.2</c:v>
                </c:pt>
                <c:pt idx="961">
                  <c:v>19.22</c:v>
                </c:pt>
                <c:pt idx="962">
                  <c:v>19.239999999999998</c:v>
                </c:pt>
                <c:pt idx="963">
                  <c:v>19.260000000000002</c:v>
                </c:pt>
                <c:pt idx="964">
                  <c:v>19.28</c:v>
                </c:pt>
                <c:pt idx="965">
                  <c:v>19.3</c:v>
                </c:pt>
                <c:pt idx="966">
                  <c:v>19.32</c:v>
                </c:pt>
                <c:pt idx="967">
                  <c:v>19.34</c:v>
                </c:pt>
                <c:pt idx="968">
                  <c:v>19.36</c:v>
                </c:pt>
                <c:pt idx="969">
                  <c:v>19.38</c:v>
                </c:pt>
                <c:pt idx="970">
                  <c:v>19.399999999999999</c:v>
                </c:pt>
                <c:pt idx="971">
                  <c:v>19.420000000000002</c:v>
                </c:pt>
                <c:pt idx="972">
                  <c:v>19.440000000000001</c:v>
                </c:pt>
                <c:pt idx="973">
                  <c:v>19.46</c:v>
                </c:pt>
                <c:pt idx="974">
                  <c:v>19.48</c:v>
                </c:pt>
                <c:pt idx="975">
                  <c:v>19.5</c:v>
                </c:pt>
                <c:pt idx="976">
                  <c:v>19.52</c:v>
                </c:pt>
                <c:pt idx="977">
                  <c:v>19.54</c:v>
                </c:pt>
                <c:pt idx="978">
                  <c:v>19.559999999999999</c:v>
                </c:pt>
                <c:pt idx="979">
                  <c:v>19.579999999999998</c:v>
                </c:pt>
                <c:pt idx="980">
                  <c:v>19.600000000000001</c:v>
                </c:pt>
                <c:pt idx="981">
                  <c:v>19.62</c:v>
                </c:pt>
                <c:pt idx="982">
                  <c:v>19.64</c:v>
                </c:pt>
                <c:pt idx="983">
                  <c:v>19.66</c:v>
                </c:pt>
                <c:pt idx="984">
                  <c:v>19.68</c:v>
                </c:pt>
                <c:pt idx="985">
                  <c:v>19.7</c:v>
                </c:pt>
                <c:pt idx="986">
                  <c:v>19.72</c:v>
                </c:pt>
                <c:pt idx="987">
                  <c:v>19.739999999999998</c:v>
                </c:pt>
                <c:pt idx="988">
                  <c:v>19.760000000000002</c:v>
                </c:pt>
                <c:pt idx="989">
                  <c:v>19.78</c:v>
                </c:pt>
                <c:pt idx="990">
                  <c:v>19.8</c:v>
                </c:pt>
                <c:pt idx="991">
                  <c:v>19.82</c:v>
                </c:pt>
                <c:pt idx="992">
                  <c:v>19.84</c:v>
                </c:pt>
                <c:pt idx="993">
                  <c:v>19.86</c:v>
                </c:pt>
                <c:pt idx="994">
                  <c:v>19.88</c:v>
                </c:pt>
                <c:pt idx="995">
                  <c:v>19.899999999999999</c:v>
                </c:pt>
                <c:pt idx="996">
                  <c:v>19.920000000000002</c:v>
                </c:pt>
                <c:pt idx="997">
                  <c:v>19.940000000000001</c:v>
                </c:pt>
                <c:pt idx="998">
                  <c:v>19.96</c:v>
                </c:pt>
                <c:pt idx="999">
                  <c:v>19.98</c:v>
                </c:pt>
                <c:pt idx="1000">
                  <c:v>20</c:v>
                </c:pt>
                <c:pt idx="1001">
                  <c:v>20.02</c:v>
                </c:pt>
                <c:pt idx="1002">
                  <c:v>20.04</c:v>
                </c:pt>
                <c:pt idx="1003">
                  <c:v>20.059999999999999</c:v>
                </c:pt>
                <c:pt idx="1004">
                  <c:v>20.079999999999998</c:v>
                </c:pt>
                <c:pt idx="1005">
                  <c:v>20.100000000000001</c:v>
                </c:pt>
                <c:pt idx="1006">
                  <c:v>20.12</c:v>
                </c:pt>
                <c:pt idx="1007">
                  <c:v>20.14</c:v>
                </c:pt>
                <c:pt idx="1008">
                  <c:v>20.16</c:v>
                </c:pt>
                <c:pt idx="1009">
                  <c:v>20.18</c:v>
                </c:pt>
                <c:pt idx="1010">
                  <c:v>20.2</c:v>
                </c:pt>
                <c:pt idx="1011">
                  <c:v>20.22</c:v>
                </c:pt>
                <c:pt idx="1012">
                  <c:v>20.239999999999998</c:v>
                </c:pt>
                <c:pt idx="1013">
                  <c:v>20.260000000000002</c:v>
                </c:pt>
                <c:pt idx="1014">
                  <c:v>20.28</c:v>
                </c:pt>
                <c:pt idx="1015">
                  <c:v>20.3</c:v>
                </c:pt>
                <c:pt idx="1016">
                  <c:v>20.32</c:v>
                </c:pt>
                <c:pt idx="1017">
                  <c:v>20.34</c:v>
                </c:pt>
                <c:pt idx="1018">
                  <c:v>20.36</c:v>
                </c:pt>
                <c:pt idx="1019">
                  <c:v>20.38</c:v>
                </c:pt>
                <c:pt idx="1020">
                  <c:v>20.399999999999999</c:v>
                </c:pt>
                <c:pt idx="1021">
                  <c:v>20.420000000000002</c:v>
                </c:pt>
                <c:pt idx="1022">
                  <c:v>20.440000000000001</c:v>
                </c:pt>
                <c:pt idx="1023">
                  <c:v>20.46</c:v>
                </c:pt>
                <c:pt idx="1024">
                  <c:v>20.48</c:v>
                </c:pt>
                <c:pt idx="1025">
                  <c:v>20.5</c:v>
                </c:pt>
                <c:pt idx="1026">
                  <c:v>20.52</c:v>
                </c:pt>
                <c:pt idx="1027">
                  <c:v>20.54</c:v>
                </c:pt>
                <c:pt idx="1028">
                  <c:v>20.56</c:v>
                </c:pt>
                <c:pt idx="1029">
                  <c:v>20.58</c:v>
                </c:pt>
                <c:pt idx="1030">
                  <c:v>20.6</c:v>
                </c:pt>
                <c:pt idx="1031">
                  <c:v>20.62</c:v>
                </c:pt>
                <c:pt idx="1032">
                  <c:v>20.64</c:v>
                </c:pt>
                <c:pt idx="1033">
                  <c:v>20.66</c:v>
                </c:pt>
                <c:pt idx="1034">
                  <c:v>20.68</c:v>
                </c:pt>
                <c:pt idx="1035">
                  <c:v>20.7</c:v>
                </c:pt>
                <c:pt idx="1036">
                  <c:v>20.72</c:v>
                </c:pt>
                <c:pt idx="1037">
                  <c:v>20.74</c:v>
                </c:pt>
                <c:pt idx="1038">
                  <c:v>20.76</c:v>
                </c:pt>
                <c:pt idx="1039">
                  <c:v>20.78</c:v>
                </c:pt>
                <c:pt idx="1040">
                  <c:v>20.8</c:v>
                </c:pt>
                <c:pt idx="1041">
                  <c:v>20.82</c:v>
                </c:pt>
                <c:pt idx="1042">
                  <c:v>20.84</c:v>
                </c:pt>
                <c:pt idx="1043">
                  <c:v>20.86</c:v>
                </c:pt>
                <c:pt idx="1044">
                  <c:v>20.88</c:v>
                </c:pt>
                <c:pt idx="1045">
                  <c:v>20.9</c:v>
                </c:pt>
                <c:pt idx="1046">
                  <c:v>20.92</c:v>
                </c:pt>
                <c:pt idx="1047">
                  <c:v>20.94</c:v>
                </c:pt>
                <c:pt idx="1048">
                  <c:v>20.96</c:v>
                </c:pt>
                <c:pt idx="1049">
                  <c:v>20.98</c:v>
                </c:pt>
                <c:pt idx="1050">
                  <c:v>21</c:v>
                </c:pt>
                <c:pt idx="1051">
                  <c:v>21.02</c:v>
                </c:pt>
                <c:pt idx="1052">
                  <c:v>21.04</c:v>
                </c:pt>
                <c:pt idx="1053">
                  <c:v>21.06</c:v>
                </c:pt>
                <c:pt idx="1054">
                  <c:v>21.08</c:v>
                </c:pt>
                <c:pt idx="1055">
                  <c:v>21.1</c:v>
                </c:pt>
                <c:pt idx="1056">
                  <c:v>21.12</c:v>
                </c:pt>
                <c:pt idx="1057">
                  <c:v>21.14</c:v>
                </c:pt>
                <c:pt idx="1058">
                  <c:v>21.16</c:v>
                </c:pt>
                <c:pt idx="1059">
                  <c:v>21.18</c:v>
                </c:pt>
                <c:pt idx="1060">
                  <c:v>21.2</c:v>
                </c:pt>
                <c:pt idx="1061">
                  <c:v>21.22</c:v>
                </c:pt>
                <c:pt idx="1062">
                  <c:v>21.24</c:v>
                </c:pt>
                <c:pt idx="1063">
                  <c:v>21.26</c:v>
                </c:pt>
                <c:pt idx="1064">
                  <c:v>21.28</c:v>
                </c:pt>
                <c:pt idx="1065">
                  <c:v>21.3</c:v>
                </c:pt>
                <c:pt idx="1066">
                  <c:v>21.32</c:v>
                </c:pt>
                <c:pt idx="1067">
                  <c:v>21.34</c:v>
                </c:pt>
                <c:pt idx="1068">
                  <c:v>21.36</c:v>
                </c:pt>
                <c:pt idx="1069">
                  <c:v>21.38</c:v>
                </c:pt>
                <c:pt idx="1070">
                  <c:v>21.4</c:v>
                </c:pt>
                <c:pt idx="1071">
                  <c:v>21.42</c:v>
                </c:pt>
                <c:pt idx="1072">
                  <c:v>21.44</c:v>
                </c:pt>
                <c:pt idx="1073">
                  <c:v>21.46</c:v>
                </c:pt>
                <c:pt idx="1074">
                  <c:v>21.48</c:v>
                </c:pt>
                <c:pt idx="1075">
                  <c:v>21.5</c:v>
                </c:pt>
                <c:pt idx="1076">
                  <c:v>21.52</c:v>
                </c:pt>
                <c:pt idx="1077">
                  <c:v>21.54</c:v>
                </c:pt>
                <c:pt idx="1078">
                  <c:v>21.56</c:v>
                </c:pt>
                <c:pt idx="1079">
                  <c:v>21.58</c:v>
                </c:pt>
                <c:pt idx="1080">
                  <c:v>21.6</c:v>
                </c:pt>
                <c:pt idx="1081">
                  <c:v>21.62</c:v>
                </c:pt>
                <c:pt idx="1082">
                  <c:v>21.64</c:v>
                </c:pt>
                <c:pt idx="1083">
                  <c:v>21.66</c:v>
                </c:pt>
                <c:pt idx="1084">
                  <c:v>21.68</c:v>
                </c:pt>
                <c:pt idx="1085">
                  <c:v>21.7</c:v>
                </c:pt>
                <c:pt idx="1086">
                  <c:v>21.72</c:v>
                </c:pt>
                <c:pt idx="1087">
                  <c:v>21.74</c:v>
                </c:pt>
                <c:pt idx="1088">
                  <c:v>21.76</c:v>
                </c:pt>
                <c:pt idx="1089">
                  <c:v>21.78</c:v>
                </c:pt>
                <c:pt idx="1090">
                  <c:v>21.8</c:v>
                </c:pt>
                <c:pt idx="1091">
                  <c:v>21.82</c:v>
                </c:pt>
                <c:pt idx="1092">
                  <c:v>21.84</c:v>
                </c:pt>
                <c:pt idx="1093">
                  <c:v>21.86</c:v>
                </c:pt>
                <c:pt idx="1094">
                  <c:v>21.88</c:v>
                </c:pt>
                <c:pt idx="1095">
                  <c:v>21.9</c:v>
                </c:pt>
                <c:pt idx="1096">
                  <c:v>21.92</c:v>
                </c:pt>
                <c:pt idx="1097">
                  <c:v>21.94</c:v>
                </c:pt>
                <c:pt idx="1098">
                  <c:v>21.96</c:v>
                </c:pt>
                <c:pt idx="1099">
                  <c:v>21.98</c:v>
                </c:pt>
                <c:pt idx="1100">
                  <c:v>22</c:v>
                </c:pt>
                <c:pt idx="1101">
                  <c:v>22.02</c:v>
                </c:pt>
                <c:pt idx="1102">
                  <c:v>22.04</c:v>
                </c:pt>
                <c:pt idx="1103">
                  <c:v>22.06</c:v>
                </c:pt>
                <c:pt idx="1104">
                  <c:v>22.08</c:v>
                </c:pt>
                <c:pt idx="1105">
                  <c:v>22.1</c:v>
                </c:pt>
                <c:pt idx="1106">
                  <c:v>22.12</c:v>
                </c:pt>
                <c:pt idx="1107">
                  <c:v>22.14</c:v>
                </c:pt>
                <c:pt idx="1108">
                  <c:v>22.16</c:v>
                </c:pt>
                <c:pt idx="1109">
                  <c:v>22.18</c:v>
                </c:pt>
                <c:pt idx="1110">
                  <c:v>22.2</c:v>
                </c:pt>
                <c:pt idx="1111">
                  <c:v>22.22</c:v>
                </c:pt>
                <c:pt idx="1112">
                  <c:v>22.24</c:v>
                </c:pt>
                <c:pt idx="1113">
                  <c:v>22.26</c:v>
                </c:pt>
                <c:pt idx="1114">
                  <c:v>22.28</c:v>
                </c:pt>
                <c:pt idx="1115">
                  <c:v>22.3</c:v>
                </c:pt>
                <c:pt idx="1116">
                  <c:v>22.32</c:v>
                </c:pt>
                <c:pt idx="1117">
                  <c:v>22.34</c:v>
                </c:pt>
                <c:pt idx="1118">
                  <c:v>22.36</c:v>
                </c:pt>
                <c:pt idx="1119">
                  <c:v>22.38</c:v>
                </c:pt>
                <c:pt idx="1120">
                  <c:v>22.4</c:v>
                </c:pt>
                <c:pt idx="1121">
                  <c:v>22.42</c:v>
                </c:pt>
                <c:pt idx="1122">
                  <c:v>22.44</c:v>
                </c:pt>
                <c:pt idx="1123">
                  <c:v>22.46</c:v>
                </c:pt>
                <c:pt idx="1124">
                  <c:v>22.48</c:v>
                </c:pt>
                <c:pt idx="1125">
                  <c:v>22.5</c:v>
                </c:pt>
                <c:pt idx="1126">
                  <c:v>22.52</c:v>
                </c:pt>
                <c:pt idx="1127">
                  <c:v>22.54</c:v>
                </c:pt>
                <c:pt idx="1128">
                  <c:v>22.56</c:v>
                </c:pt>
                <c:pt idx="1129">
                  <c:v>22.58</c:v>
                </c:pt>
                <c:pt idx="1130">
                  <c:v>22.6</c:v>
                </c:pt>
                <c:pt idx="1131">
                  <c:v>22.62</c:v>
                </c:pt>
                <c:pt idx="1132">
                  <c:v>22.64</c:v>
                </c:pt>
                <c:pt idx="1133">
                  <c:v>22.66</c:v>
                </c:pt>
                <c:pt idx="1134">
                  <c:v>22.68</c:v>
                </c:pt>
                <c:pt idx="1135">
                  <c:v>22.7</c:v>
                </c:pt>
                <c:pt idx="1136">
                  <c:v>22.72</c:v>
                </c:pt>
                <c:pt idx="1137">
                  <c:v>22.74</c:v>
                </c:pt>
                <c:pt idx="1138">
                  <c:v>22.76</c:v>
                </c:pt>
                <c:pt idx="1139">
                  <c:v>22.78</c:v>
                </c:pt>
                <c:pt idx="1140">
                  <c:v>22.8</c:v>
                </c:pt>
                <c:pt idx="1141">
                  <c:v>22.82</c:v>
                </c:pt>
                <c:pt idx="1142">
                  <c:v>22.84</c:v>
                </c:pt>
                <c:pt idx="1143">
                  <c:v>22.86</c:v>
                </c:pt>
                <c:pt idx="1144">
                  <c:v>22.88</c:v>
                </c:pt>
                <c:pt idx="1145">
                  <c:v>22.9</c:v>
                </c:pt>
                <c:pt idx="1146">
                  <c:v>22.92</c:v>
                </c:pt>
                <c:pt idx="1147">
                  <c:v>22.94</c:v>
                </c:pt>
                <c:pt idx="1148">
                  <c:v>22.96</c:v>
                </c:pt>
                <c:pt idx="1149">
                  <c:v>22.98</c:v>
                </c:pt>
                <c:pt idx="1150">
                  <c:v>23</c:v>
                </c:pt>
                <c:pt idx="1151">
                  <c:v>23.02</c:v>
                </c:pt>
                <c:pt idx="1152">
                  <c:v>23.04</c:v>
                </c:pt>
                <c:pt idx="1153">
                  <c:v>23.06</c:v>
                </c:pt>
                <c:pt idx="1154">
                  <c:v>23.08</c:v>
                </c:pt>
                <c:pt idx="1155">
                  <c:v>23.1</c:v>
                </c:pt>
                <c:pt idx="1156">
                  <c:v>23.12</c:v>
                </c:pt>
                <c:pt idx="1157">
                  <c:v>23.14</c:v>
                </c:pt>
                <c:pt idx="1158">
                  <c:v>23.16</c:v>
                </c:pt>
                <c:pt idx="1159">
                  <c:v>23.18</c:v>
                </c:pt>
                <c:pt idx="1160">
                  <c:v>23.2</c:v>
                </c:pt>
                <c:pt idx="1161">
                  <c:v>23.22</c:v>
                </c:pt>
                <c:pt idx="1162">
                  <c:v>23.24</c:v>
                </c:pt>
                <c:pt idx="1163">
                  <c:v>23.26</c:v>
                </c:pt>
                <c:pt idx="1164">
                  <c:v>23.28</c:v>
                </c:pt>
                <c:pt idx="1165">
                  <c:v>23.3</c:v>
                </c:pt>
                <c:pt idx="1166">
                  <c:v>23.32</c:v>
                </c:pt>
                <c:pt idx="1167">
                  <c:v>23.34</c:v>
                </c:pt>
                <c:pt idx="1168">
                  <c:v>23.36</c:v>
                </c:pt>
                <c:pt idx="1169">
                  <c:v>23.38</c:v>
                </c:pt>
                <c:pt idx="1170">
                  <c:v>23.4</c:v>
                </c:pt>
                <c:pt idx="1171">
                  <c:v>23.42</c:v>
                </c:pt>
                <c:pt idx="1172">
                  <c:v>23.44</c:v>
                </c:pt>
                <c:pt idx="1173">
                  <c:v>23.46</c:v>
                </c:pt>
                <c:pt idx="1174">
                  <c:v>23.48</c:v>
                </c:pt>
                <c:pt idx="1175">
                  <c:v>23.5</c:v>
                </c:pt>
                <c:pt idx="1176">
                  <c:v>23.52</c:v>
                </c:pt>
                <c:pt idx="1177">
                  <c:v>23.54</c:v>
                </c:pt>
                <c:pt idx="1178">
                  <c:v>23.56</c:v>
                </c:pt>
                <c:pt idx="1179">
                  <c:v>23.58</c:v>
                </c:pt>
                <c:pt idx="1180">
                  <c:v>23.6</c:v>
                </c:pt>
                <c:pt idx="1181">
                  <c:v>23.62</c:v>
                </c:pt>
                <c:pt idx="1182">
                  <c:v>23.64</c:v>
                </c:pt>
                <c:pt idx="1183">
                  <c:v>23.66</c:v>
                </c:pt>
                <c:pt idx="1184">
                  <c:v>23.68</c:v>
                </c:pt>
                <c:pt idx="1185">
                  <c:v>23.7</c:v>
                </c:pt>
                <c:pt idx="1186">
                  <c:v>23.72</c:v>
                </c:pt>
                <c:pt idx="1187">
                  <c:v>23.74</c:v>
                </c:pt>
                <c:pt idx="1188">
                  <c:v>23.76</c:v>
                </c:pt>
                <c:pt idx="1189">
                  <c:v>23.78</c:v>
                </c:pt>
                <c:pt idx="1190">
                  <c:v>23.8</c:v>
                </c:pt>
                <c:pt idx="1191">
                  <c:v>23.82</c:v>
                </c:pt>
                <c:pt idx="1192">
                  <c:v>23.84</c:v>
                </c:pt>
                <c:pt idx="1193">
                  <c:v>23.86</c:v>
                </c:pt>
                <c:pt idx="1194">
                  <c:v>23.88</c:v>
                </c:pt>
                <c:pt idx="1195">
                  <c:v>23.9</c:v>
                </c:pt>
                <c:pt idx="1196">
                  <c:v>23.92</c:v>
                </c:pt>
                <c:pt idx="1197">
                  <c:v>23.94</c:v>
                </c:pt>
                <c:pt idx="1198">
                  <c:v>23.96</c:v>
                </c:pt>
                <c:pt idx="1199">
                  <c:v>23.98</c:v>
                </c:pt>
                <c:pt idx="1200">
                  <c:v>24</c:v>
                </c:pt>
                <c:pt idx="1201">
                  <c:v>24.02</c:v>
                </c:pt>
                <c:pt idx="1202">
                  <c:v>24.04</c:v>
                </c:pt>
                <c:pt idx="1203">
                  <c:v>24.06</c:v>
                </c:pt>
                <c:pt idx="1204">
                  <c:v>24.08</c:v>
                </c:pt>
                <c:pt idx="1205">
                  <c:v>24.1</c:v>
                </c:pt>
                <c:pt idx="1206">
                  <c:v>24.12</c:v>
                </c:pt>
                <c:pt idx="1207">
                  <c:v>24.14</c:v>
                </c:pt>
                <c:pt idx="1208">
                  <c:v>24.16</c:v>
                </c:pt>
                <c:pt idx="1209">
                  <c:v>24.18</c:v>
                </c:pt>
                <c:pt idx="1210">
                  <c:v>24.2</c:v>
                </c:pt>
                <c:pt idx="1211">
                  <c:v>24.22</c:v>
                </c:pt>
                <c:pt idx="1212">
                  <c:v>24.24</c:v>
                </c:pt>
                <c:pt idx="1213">
                  <c:v>24.26</c:v>
                </c:pt>
                <c:pt idx="1214">
                  <c:v>24.28</c:v>
                </c:pt>
                <c:pt idx="1215">
                  <c:v>24.3</c:v>
                </c:pt>
                <c:pt idx="1216">
                  <c:v>24.32</c:v>
                </c:pt>
                <c:pt idx="1217">
                  <c:v>24.34</c:v>
                </c:pt>
                <c:pt idx="1218">
                  <c:v>24.36</c:v>
                </c:pt>
                <c:pt idx="1219">
                  <c:v>24.38</c:v>
                </c:pt>
                <c:pt idx="1220">
                  <c:v>24.4</c:v>
                </c:pt>
                <c:pt idx="1221">
                  <c:v>24.42</c:v>
                </c:pt>
                <c:pt idx="1222">
                  <c:v>24.44</c:v>
                </c:pt>
                <c:pt idx="1223">
                  <c:v>24.46</c:v>
                </c:pt>
                <c:pt idx="1224">
                  <c:v>24.48</c:v>
                </c:pt>
                <c:pt idx="1225">
                  <c:v>24.5</c:v>
                </c:pt>
                <c:pt idx="1226">
                  <c:v>24.52</c:v>
                </c:pt>
                <c:pt idx="1227">
                  <c:v>24.54</c:v>
                </c:pt>
                <c:pt idx="1228">
                  <c:v>24.56</c:v>
                </c:pt>
                <c:pt idx="1229">
                  <c:v>24.58</c:v>
                </c:pt>
                <c:pt idx="1230">
                  <c:v>24.6</c:v>
                </c:pt>
                <c:pt idx="1231">
                  <c:v>24.62</c:v>
                </c:pt>
                <c:pt idx="1232">
                  <c:v>24.64</c:v>
                </c:pt>
                <c:pt idx="1233">
                  <c:v>24.66</c:v>
                </c:pt>
                <c:pt idx="1234">
                  <c:v>24.68</c:v>
                </c:pt>
                <c:pt idx="1235">
                  <c:v>24.7</c:v>
                </c:pt>
                <c:pt idx="1236">
                  <c:v>24.72</c:v>
                </c:pt>
                <c:pt idx="1237">
                  <c:v>24.74</c:v>
                </c:pt>
                <c:pt idx="1238">
                  <c:v>24.76</c:v>
                </c:pt>
                <c:pt idx="1239">
                  <c:v>24.78</c:v>
                </c:pt>
                <c:pt idx="1240">
                  <c:v>24.8</c:v>
                </c:pt>
                <c:pt idx="1241">
                  <c:v>24.82</c:v>
                </c:pt>
                <c:pt idx="1242">
                  <c:v>24.84</c:v>
                </c:pt>
                <c:pt idx="1243">
                  <c:v>24.86</c:v>
                </c:pt>
                <c:pt idx="1244">
                  <c:v>24.88</c:v>
                </c:pt>
                <c:pt idx="1245">
                  <c:v>24.9</c:v>
                </c:pt>
                <c:pt idx="1246">
                  <c:v>24.92</c:v>
                </c:pt>
                <c:pt idx="1247">
                  <c:v>24.94</c:v>
                </c:pt>
                <c:pt idx="1248">
                  <c:v>24.96</c:v>
                </c:pt>
                <c:pt idx="1249">
                  <c:v>24.98</c:v>
                </c:pt>
                <c:pt idx="1250">
                  <c:v>25</c:v>
                </c:pt>
                <c:pt idx="1251">
                  <c:v>25.02</c:v>
                </c:pt>
                <c:pt idx="1252">
                  <c:v>25.04</c:v>
                </c:pt>
                <c:pt idx="1253">
                  <c:v>25.06</c:v>
                </c:pt>
                <c:pt idx="1254">
                  <c:v>25.08</c:v>
                </c:pt>
                <c:pt idx="1255">
                  <c:v>25.1</c:v>
                </c:pt>
                <c:pt idx="1256">
                  <c:v>25.12</c:v>
                </c:pt>
                <c:pt idx="1257">
                  <c:v>25.14</c:v>
                </c:pt>
                <c:pt idx="1258">
                  <c:v>25.16</c:v>
                </c:pt>
                <c:pt idx="1259">
                  <c:v>25.18</c:v>
                </c:pt>
                <c:pt idx="1260">
                  <c:v>25.2</c:v>
                </c:pt>
                <c:pt idx="1261">
                  <c:v>25.22</c:v>
                </c:pt>
                <c:pt idx="1262">
                  <c:v>25.24</c:v>
                </c:pt>
                <c:pt idx="1263">
                  <c:v>25.26</c:v>
                </c:pt>
                <c:pt idx="1264">
                  <c:v>25.28</c:v>
                </c:pt>
                <c:pt idx="1265">
                  <c:v>25.3</c:v>
                </c:pt>
                <c:pt idx="1266">
                  <c:v>25.32</c:v>
                </c:pt>
                <c:pt idx="1267">
                  <c:v>25.34</c:v>
                </c:pt>
                <c:pt idx="1268">
                  <c:v>25.36</c:v>
                </c:pt>
                <c:pt idx="1269">
                  <c:v>25.38</c:v>
                </c:pt>
                <c:pt idx="1270">
                  <c:v>25.4</c:v>
                </c:pt>
                <c:pt idx="1271">
                  <c:v>25.42</c:v>
                </c:pt>
                <c:pt idx="1272">
                  <c:v>25.44</c:v>
                </c:pt>
                <c:pt idx="1273">
                  <c:v>25.46</c:v>
                </c:pt>
                <c:pt idx="1274">
                  <c:v>25.48</c:v>
                </c:pt>
                <c:pt idx="1275">
                  <c:v>25.5</c:v>
                </c:pt>
                <c:pt idx="1276">
                  <c:v>25.52</c:v>
                </c:pt>
                <c:pt idx="1277">
                  <c:v>25.54</c:v>
                </c:pt>
                <c:pt idx="1278">
                  <c:v>25.56</c:v>
                </c:pt>
                <c:pt idx="1279">
                  <c:v>25.58</c:v>
                </c:pt>
                <c:pt idx="1280">
                  <c:v>25.6</c:v>
                </c:pt>
                <c:pt idx="1281">
                  <c:v>25.62</c:v>
                </c:pt>
                <c:pt idx="1282">
                  <c:v>25.64</c:v>
                </c:pt>
                <c:pt idx="1283">
                  <c:v>25.66</c:v>
                </c:pt>
                <c:pt idx="1284">
                  <c:v>25.68</c:v>
                </c:pt>
                <c:pt idx="1285">
                  <c:v>25.7</c:v>
                </c:pt>
                <c:pt idx="1286">
                  <c:v>25.72</c:v>
                </c:pt>
                <c:pt idx="1287">
                  <c:v>25.74</c:v>
                </c:pt>
                <c:pt idx="1288">
                  <c:v>25.76</c:v>
                </c:pt>
                <c:pt idx="1289">
                  <c:v>25.78</c:v>
                </c:pt>
                <c:pt idx="1290">
                  <c:v>25.8</c:v>
                </c:pt>
                <c:pt idx="1291">
                  <c:v>25.82</c:v>
                </c:pt>
                <c:pt idx="1292">
                  <c:v>25.84</c:v>
                </c:pt>
                <c:pt idx="1293">
                  <c:v>25.86</c:v>
                </c:pt>
                <c:pt idx="1294">
                  <c:v>25.88</c:v>
                </c:pt>
                <c:pt idx="1295">
                  <c:v>25.9</c:v>
                </c:pt>
                <c:pt idx="1296">
                  <c:v>25.92</c:v>
                </c:pt>
                <c:pt idx="1297">
                  <c:v>25.94</c:v>
                </c:pt>
                <c:pt idx="1298">
                  <c:v>25.96</c:v>
                </c:pt>
                <c:pt idx="1299">
                  <c:v>25.98</c:v>
                </c:pt>
                <c:pt idx="1300">
                  <c:v>26</c:v>
                </c:pt>
                <c:pt idx="1301">
                  <c:v>26.02</c:v>
                </c:pt>
                <c:pt idx="1302">
                  <c:v>26.04</c:v>
                </c:pt>
                <c:pt idx="1303">
                  <c:v>26.06</c:v>
                </c:pt>
                <c:pt idx="1304">
                  <c:v>26.08</c:v>
                </c:pt>
                <c:pt idx="1305">
                  <c:v>26.1</c:v>
                </c:pt>
                <c:pt idx="1306">
                  <c:v>26.12</c:v>
                </c:pt>
                <c:pt idx="1307">
                  <c:v>26.14</c:v>
                </c:pt>
                <c:pt idx="1308">
                  <c:v>26.16</c:v>
                </c:pt>
                <c:pt idx="1309">
                  <c:v>26.18</c:v>
                </c:pt>
                <c:pt idx="1310">
                  <c:v>26.2</c:v>
                </c:pt>
                <c:pt idx="1311">
                  <c:v>26.22</c:v>
                </c:pt>
                <c:pt idx="1312">
                  <c:v>26.24</c:v>
                </c:pt>
                <c:pt idx="1313">
                  <c:v>26.26</c:v>
                </c:pt>
                <c:pt idx="1314">
                  <c:v>26.28</c:v>
                </c:pt>
                <c:pt idx="1315">
                  <c:v>26.3</c:v>
                </c:pt>
                <c:pt idx="1316">
                  <c:v>26.32</c:v>
                </c:pt>
                <c:pt idx="1317">
                  <c:v>26.34</c:v>
                </c:pt>
                <c:pt idx="1318">
                  <c:v>26.36</c:v>
                </c:pt>
                <c:pt idx="1319">
                  <c:v>26.38</c:v>
                </c:pt>
                <c:pt idx="1320">
                  <c:v>26.4</c:v>
                </c:pt>
                <c:pt idx="1321">
                  <c:v>26.42</c:v>
                </c:pt>
                <c:pt idx="1322">
                  <c:v>26.44</c:v>
                </c:pt>
                <c:pt idx="1323">
                  <c:v>26.46</c:v>
                </c:pt>
                <c:pt idx="1324">
                  <c:v>26.48</c:v>
                </c:pt>
                <c:pt idx="1325">
                  <c:v>26.5</c:v>
                </c:pt>
                <c:pt idx="1326">
                  <c:v>26.52</c:v>
                </c:pt>
                <c:pt idx="1327">
                  <c:v>26.54</c:v>
                </c:pt>
                <c:pt idx="1328">
                  <c:v>26.56</c:v>
                </c:pt>
                <c:pt idx="1329">
                  <c:v>26.58</c:v>
                </c:pt>
                <c:pt idx="1330">
                  <c:v>26.6</c:v>
                </c:pt>
                <c:pt idx="1331">
                  <c:v>26.62</c:v>
                </c:pt>
                <c:pt idx="1332">
                  <c:v>26.64</c:v>
                </c:pt>
                <c:pt idx="1333">
                  <c:v>26.66</c:v>
                </c:pt>
                <c:pt idx="1334">
                  <c:v>26.68</c:v>
                </c:pt>
                <c:pt idx="1335">
                  <c:v>26.7</c:v>
                </c:pt>
                <c:pt idx="1336">
                  <c:v>26.72</c:v>
                </c:pt>
                <c:pt idx="1337">
                  <c:v>26.74</c:v>
                </c:pt>
                <c:pt idx="1338">
                  <c:v>26.76</c:v>
                </c:pt>
                <c:pt idx="1339">
                  <c:v>26.78</c:v>
                </c:pt>
                <c:pt idx="1340">
                  <c:v>26.8</c:v>
                </c:pt>
                <c:pt idx="1341">
                  <c:v>26.82</c:v>
                </c:pt>
                <c:pt idx="1342">
                  <c:v>26.84</c:v>
                </c:pt>
                <c:pt idx="1343">
                  <c:v>26.86</c:v>
                </c:pt>
                <c:pt idx="1344">
                  <c:v>26.88</c:v>
                </c:pt>
                <c:pt idx="1345">
                  <c:v>26.9</c:v>
                </c:pt>
                <c:pt idx="1346">
                  <c:v>26.92</c:v>
                </c:pt>
                <c:pt idx="1347">
                  <c:v>26.94</c:v>
                </c:pt>
                <c:pt idx="1348">
                  <c:v>26.96</c:v>
                </c:pt>
                <c:pt idx="1349">
                  <c:v>26.98</c:v>
                </c:pt>
                <c:pt idx="1350">
                  <c:v>27</c:v>
                </c:pt>
                <c:pt idx="1351">
                  <c:v>27.02</c:v>
                </c:pt>
                <c:pt idx="1352">
                  <c:v>27.04</c:v>
                </c:pt>
                <c:pt idx="1353">
                  <c:v>27.06</c:v>
                </c:pt>
                <c:pt idx="1354">
                  <c:v>27.08</c:v>
                </c:pt>
                <c:pt idx="1355">
                  <c:v>27.1</c:v>
                </c:pt>
                <c:pt idx="1356">
                  <c:v>27.12</c:v>
                </c:pt>
                <c:pt idx="1357">
                  <c:v>27.14</c:v>
                </c:pt>
                <c:pt idx="1358">
                  <c:v>27.16</c:v>
                </c:pt>
                <c:pt idx="1359">
                  <c:v>27.18</c:v>
                </c:pt>
                <c:pt idx="1360">
                  <c:v>27.2</c:v>
                </c:pt>
                <c:pt idx="1361">
                  <c:v>27.22</c:v>
                </c:pt>
                <c:pt idx="1362">
                  <c:v>27.24</c:v>
                </c:pt>
                <c:pt idx="1363">
                  <c:v>27.26</c:v>
                </c:pt>
                <c:pt idx="1364">
                  <c:v>27.28</c:v>
                </c:pt>
                <c:pt idx="1365">
                  <c:v>27.3</c:v>
                </c:pt>
                <c:pt idx="1366">
                  <c:v>27.32</c:v>
                </c:pt>
                <c:pt idx="1367">
                  <c:v>27.34</c:v>
                </c:pt>
                <c:pt idx="1368">
                  <c:v>27.36</c:v>
                </c:pt>
                <c:pt idx="1369">
                  <c:v>27.38</c:v>
                </c:pt>
                <c:pt idx="1370">
                  <c:v>27.4</c:v>
                </c:pt>
                <c:pt idx="1371">
                  <c:v>27.42</c:v>
                </c:pt>
                <c:pt idx="1372">
                  <c:v>27.44</c:v>
                </c:pt>
                <c:pt idx="1373">
                  <c:v>27.46</c:v>
                </c:pt>
                <c:pt idx="1374">
                  <c:v>27.48</c:v>
                </c:pt>
                <c:pt idx="1375">
                  <c:v>27.5</c:v>
                </c:pt>
                <c:pt idx="1376">
                  <c:v>27.52</c:v>
                </c:pt>
                <c:pt idx="1377">
                  <c:v>27.54</c:v>
                </c:pt>
                <c:pt idx="1378">
                  <c:v>27.56</c:v>
                </c:pt>
                <c:pt idx="1379">
                  <c:v>27.58</c:v>
                </c:pt>
                <c:pt idx="1380">
                  <c:v>27.6</c:v>
                </c:pt>
                <c:pt idx="1381">
                  <c:v>27.62</c:v>
                </c:pt>
                <c:pt idx="1382">
                  <c:v>27.64</c:v>
                </c:pt>
                <c:pt idx="1383">
                  <c:v>27.66</c:v>
                </c:pt>
                <c:pt idx="1384">
                  <c:v>27.68</c:v>
                </c:pt>
                <c:pt idx="1385">
                  <c:v>27.7</c:v>
                </c:pt>
                <c:pt idx="1386">
                  <c:v>27.72</c:v>
                </c:pt>
                <c:pt idx="1387">
                  <c:v>27.74</c:v>
                </c:pt>
                <c:pt idx="1388">
                  <c:v>27.76</c:v>
                </c:pt>
                <c:pt idx="1389">
                  <c:v>27.78</c:v>
                </c:pt>
                <c:pt idx="1390">
                  <c:v>27.8</c:v>
                </c:pt>
                <c:pt idx="1391">
                  <c:v>27.82</c:v>
                </c:pt>
                <c:pt idx="1392">
                  <c:v>27.84</c:v>
                </c:pt>
                <c:pt idx="1393">
                  <c:v>27.86</c:v>
                </c:pt>
                <c:pt idx="1394">
                  <c:v>27.88</c:v>
                </c:pt>
                <c:pt idx="1395">
                  <c:v>27.9</c:v>
                </c:pt>
                <c:pt idx="1396">
                  <c:v>27.92</c:v>
                </c:pt>
                <c:pt idx="1397">
                  <c:v>27.94</c:v>
                </c:pt>
                <c:pt idx="1398">
                  <c:v>27.96</c:v>
                </c:pt>
                <c:pt idx="1399">
                  <c:v>27.98</c:v>
                </c:pt>
                <c:pt idx="1400">
                  <c:v>28</c:v>
                </c:pt>
                <c:pt idx="1401">
                  <c:v>28.02</c:v>
                </c:pt>
                <c:pt idx="1402">
                  <c:v>28.04</c:v>
                </c:pt>
                <c:pt idx="1403">
                  <c:v>28.06</c:v>
                </c:pt>
                <c:pt idx="1404">
                  <c:v>28.08</c:v>
                </c:pt>
                <c:pt idx="1405">
                  <c:v>28.1</c:v>
                </c:pt>
                <c:pt idx="1406">
                  <c:v>28.12</c:v>
                </c:pt>
                <c:pt idx="1407">
                  <c:v>28.14</c:v>
                </c:pt>
                <c:pt idx="1408">
                  <c:v>28.16</c:v>
                </c:pt>
                <c:pt idx="1409">
                  <c:v>28.18</c:v>
                </c:pt>
                <c:pt idx="1410">
                  <c:v>28.2</c:v>
                </c:pt>
                <c:pt idx="1411">
                  <c:v>28.22</c:v>
                </c:pt>
                <c:pt idx="1412">
                  <c:v>28.24</c:v>
                </c:pt>
                <c:pt idx="1413">
                  <c:v>28.26</c:v>
                </c:pt>
                <c:pt idx="1414">
                  <c:v>28.28</c:v>
                </c:pt>
                <c:pt idx="1415">
                  <c:v>28.3</c:v>
                </c:pt>
                <c:pt idx="1416">
                  <c:v>28.32</c:v>
                </c:pt>
                <c:pt idx="1417">
                  <c:v>28.34</c:v>
                </c:pt>
                <c:pt idx="1418">
                  <c:v>28.36</c:v>
                </c:pt>
                <c:pt idx="1419">
                  <c:v>28.38</c:v>
                </c:pt>
                <c:pt idx="1420">
                  <c:v>28.4</c:v>
                </c:pt>
                <c:pt idx="1421">
                  <c:v>28.42</c:v>
                </c:pt>
                <c:pt idx="1422">
                  <c:v>28.44</c:v>
                </c:pt>
                <c:pt idx="1423">
                  <c:v>28.46</c:v>
                </c:pt>
                <c:pt idx="1424">
                  <c:v>28.48</c:v>
                </c:pt>
                <c:pt idx="1425">
                  <c:v>28.5</c:v>
                </c:pt>
                <c:pt idx="1426">
                  <c:v>28.52</c:v>
                </c:pt>
                <c:pt idx="1427">
                  <c:v>28.54</c:v>
                </c:pt>
                <c:pt idx="1428">
                  <c:v>28.56</c:v>
                </c:pt>
                <c:pt idx="1429">
                  <c:v>28.58</c:v>
                </c:pt>
                <c:pt idx="1430">
                  <c:v>28.6</c:v>
                </c:pt>
                <c:pt idx="1431">
                  <c:v>28.62</c:v>
                </c:pt>
                <c:pt idx="1432">
                  <c:v>28.64</c:v>
                </c:pt>
                <c:pt idx="1433">
                  <c:v>28.66</c:v>
                </c:pt>
                <c:pt idx="1434">
                  <c:v>28.68</c:v>
                </c:pt>
                <c:pt idx="1435">
                  <c:v>28.7</c:v>
                </c:pt>
                <c:pt idx="1436">
                  <c:v>28.72</c:v>
                </c:pt>
                <c:pt idx="1437">
                  <c:v>28.74</c:v>
                </c:pt>
                <c:pt idx="1438">
                  <c:v>28.76</c:v>
                </c:pt>
                <c:pt idx="1439">
                  <c:v>28.78</c:v>
                </c:pt>
                <c:pt idx="1440">
                  <c:v>28.8</c:v>
                </c:pt>
                <c:pt idx="1441">
                  <c:v>28.82</c:v>
                </c:pt>
                <c:pt idx="1442">
                  <c:v>28.84</c:v>
                </c:pt>
                <c:pt idx="1443">
                  <c:v>28.86</c:v>
                </c:pt>
                <c:pt idx="1444">
                  <c:v>28.88</c:v>
                </c:pt>
                <c:pt idx="1445">
                  <c:v>28.9</c:v>
                </c:pt>
                <c:pt idx="1446">
                  <c:v>28.92</c:v>
                </c:pt>
                <c:pt idx="1447">
                  <c:v>28.94</c:v>
                </c:pt>
                <c:pt idx="1448">
                  <c:v>28.96</c:v>
                </c:pt>
                <c:pt idx="1449">
                  <c:v>28.98</c:v>
                </c:pt>
                <c:pt idx="1450">
                  <c:v>29</c:v>
                </c:pt>
                <c:pt idx="1451">
                  <c:v>29.02</c:v>
                </c:pt>
                <c:pt idx="1452">
                  <c:v>29.04</c:v>
                </c:pt>
                <c:pt idx="1453">
                  <c:v>29.06</c:v>
                </c:pt>
                <c:pt idx="1454">
                  <c:v>29.08</c:v>
                </c:pt>
                <c:pt idx="1455">
                  <c:v>29.1</c:v>
                </c:pt>
                <c:pt idx="1456">
                  <c:v>29.12</c:v>
                </c:pt>
                <c:pt idx="1457">
                  <c:v>29.14</c:v>
                </c:pt>
                <c:pt idx="1458">
                  <c:v>29.16</c:v>
                </c:pt>
                <c:pt idx="1459">
                  <c:v>29.18</c:v>
                </c:pt>
                <c:pt idx="1460">
                  <c:v>29.2</c:v>
                </c:pt>
                <c:pt idx="1461">
                  <c:v>29.22</c:v>
                </c:pt>
                <c:pt idx="1462">
                  <c:v>29.24</c:v>
                </c:pt>
                <c:pt idx="1463">
                  <c:v>29.26</c:v>
                </c:pt>
                <c:pt idx="1464">
                  <c:v>29.28</c:v>
                </c:pt>
                <c:pt idx="1465">
                  <c:v>29.3</c:v>
                </c:pt>
                <c:pt idx="1466">
                  <c:v>29.32</c:v>
                </c:pt>
                <c:pt idx="1467">
                  <c:v>29.34</c:v>
                </c:pt>
                <c:pt idx="1468">
                  <c:v>29.36</c:v>
                </c:pt>
                <c:pt idx="1469">
                  <c:v>29.38</c:v>
                </c:pt>
                <c:pt idx="1470">
                  <c:v>29.4</c:v>
                </c:pt>
                <c:pt idx="1471">
                  <c:v>29.42</c:v>
                </c:pt>
                <c:pt idx="1472">
                  <c:v>29.44</c:v>
                </c:pt>
                <c:pt idx="1473">
                  <c:v>29.46</c:v>
                </c:pt>
                <c:pt idx="1474">
                  <c:v>29.48</c:v>
                </c:pt>
                <c:pt idx="1475">
                  <c:v>29.5</c:v>
                </c:pt>
                <c:pt idx="1476">
                  <c:v>29.52</c:v>
                </c:pt>
                <c:pt idx="1477">
                  <c:v>29.54</c:v>
                </c:pt>
                <c:pt idx="1478">
                  <c:v>29.56</c:v>
                </c:pt>
                <c:pt idx="1479">
                  <c:v>29.58</c:v>
                </c:pt>
                <c:pt idx="1480">
                  <c:v>29.6</c:v>
                </c:pt>
                <c:pt idx="1481">
                  <c:v>29.62</c:v>
                </c:pt>
                <c:pt idx="1482">
                  <c:v>29.64</c:v>
                </c:pt>
                <c:pt idx="1483">
                  <c:v>29.66</c:v>
                </c:pt>
                <c:pt idx="1484">
                  <c:v>29.68</c:v>
                </c:pt>
                <c:pt idx="1485">
                  <c:v>29.7</c:v>
                </c:pt>
                <c:pt idx="1486">
                  <c:v>29.72</c:v>
                </c:pt>
                <c:pt idx="1487">
                  <c:v>29.74</c:v>
                </c:pt>
                <c:pt idx="1488">
                  <c:v>29.76</c:v>
                </c:pt>
                <c:pt idx="1489">
                  <c:v>29.78</c:v>
                </c:pt>
                <c:pt idx="1490">
                  <c:v>29.8</c:v>
                </c:pt>
                <c:pt idx="1491">
                  <c:v>29.82</c:v>
                </c:pt>
                <c:pt idx="1492">
                  <c:v>29.84</c:v>
                </c:pt>
                <c:pt idx="1493">
                  <c:v>29.86</c:v>
                </c:pt>
                <c:pt idx="1494">
                  <c:v>29.88</c:v>
                </c:pt>
                <c:pt idx="1495">
                  <c:v>29.9</c:v>
                </c:pt>
                <c:pt idx="1496">
                  <c:v>29.92</c:v>
                </c:pt>
                <c:pt idx="1497">
                  <c:v>29.94</c:v>
                </c:pt>
                <c:pt idx="1498">
                  <c:v>29.96</c:v>
                </c:pt>
                <c:pt idx="1499">
                  <c:v>29.98</c:v>
                </c:pt>
                <c:pt idx="1500">
                  <c:v>30</c:v>
                </c:pt>
                <c:pt idx="1501">
                  <c:v>30.02</c:v>
                </c:pt>
                <c:pt idx="1502">
                  <c:v>30.04</c:v>
                </c:pt>
                <c:pt idx="1503">
                  <c:v>30.06</c:v>
                </c:pt>
                <c:pt idx="1504">
                  <c:v>30.08</c:v>
                </c:pt>
                <c:pt idx="1505">
                  <c:v>30.1</c:v>
                </c:pt>
                <c:pt idx="1506">
                  <c:v>30.12</c:v>
                </c:pt>
                <c:pt idx="1507">
                  <c:v>30.14</c:v>
                </c:pt>
                <c:pt idx="1508">
                  <c:v>30.16</c:v>
                </c:pt>
                <c:pt idx="1509">
                  <c:v>30.18</c:v>
                </c:pt>
                <c:pt idx="1510">
                  <c:v>30.2</c:v>
                </c:pt>
                <c:pt idx="1511">
                  <c:v>30.22</c:v>
                </c:pt>
                <c:pt idx="1512">
                  <c:v>30.24</c:v>
                </c:pt>
                <c:pt idx="1513">
                  <c:v>30.26</c:v>
                </c:pt>
                <c:pt idx="1514">
                  <c:v>30.28</c:v>
                </c:pt>
                <c:pt idx="1515">
                  <c:v>30.3</c:v>
                </c:pt>
                <c:pt idx="1516">
                  <c:v>30.32</c:v>
                </c:pt>
                <c:pt idx="1517">
                  <c:v>30.34</c:v>
                </c:pt>
                <c:pt idx="1518">
                  <c:v>30.36</c:v>
                </c:pt>
                <c:pt idx="1519">
                  <c:v>30.38</c:v>
                </c:pt>
                <c:pt idx="1520">
                  <c:v>30.4</c:v>
                </c:pt>
                <c:pt idx="1521">
                  <c:v>30.42</c:v>
                </c:pt>
                <c:pt idx="1522">
                  <c:v>30.44</c:v>
                </c:pt>
                <c:pt idx="1523">
                  <c:v>30.46</c:v>
                </c:pt>
                <c:pt idx="1524">
                  <c:v>30.48</c:v>
                </c:pt>
                <c:pt idx="1525">
                  <c:v>30.5</c:v>
                </c:pt>
                <c:pt idx="1526">
                  <c:v>30.52</c:v>
                </c:pt>
                <c:pt idx="1527">
                  <c:v>30.54</c:v>
                </c:pt>
                <c:pt idx="1528">
                  <c:v>30.56</c:v>
                </c:pt>
                <c:pt idx="1529">
                  <c:v>30.58</c:v>
                </c:pt>
                <c:pt idx="1530">
                  <c:v>30.6</c:v>
                </c:pt>
                <c:pt idx="1531">
                  <c:v>30.62</c:v>
                </c:pt>
                <c:pt idx="1532">
                  <c:v>30.64</c:v>
                </c:pt>
                <c:pt idx="1533">
                  <c:v>30.66</c:v>
                </c:pt>
                <c:pt idx="1534">
                  <c:v>30.68</c:v>
                </c:pt>
                <c:pt idx="1535">
                  <c:v>30.7</c:v>
                </c:pt>
                <c:pt idx="1536">
                  <c:v>30.72</c:v>
                </c:pt>
                <c:pt idx="1537">
                  <c:v>30.74</c:v>
                </c:pt>
                <c:pt idx="1538">
                  <c:v>30.76</c:v>
                </c:pt>
                <c:pt idx="1539">
                  <c:v>30.78</c:v>
                </c:pt>
                <c:pt idx="1540">
                  <c:v>30.8</c:v>
                </c:pt>
                <c:pt idx="1541">
                  <c:v>30.82</c:v>
                </c:pt>
                <c:pt idx="1542">
                  <c:v>30.84</c:v>
                </c:pt>
                <c:pt idx="1543">
                  <c:v>30.86</c:v>
                </c:pt>
                <c:pt idx="1544">
                  <c:v>30.88</c:v>
                </c:pt>
                <c:pt idx="1545">
                  <c:v>30.9</c:v>
                </c:pt>
                <c:pt idx="1546">
                  <c:v>30.92</c:v>
                </c:pt>
                <c:pt idx="1547">
                  <c:v>30.94</c:v>
                </c:pt>
                <c:pt idx="1548">
                  <c:v>30.96</c:v>
                </c:pt>
                <c:pt idx="1549">
                  <c:v>30.98</c:v>
                </c:pt>
                <c:pt idx="1550">
                  <c:v>31</c:v>
                </c:pt>
                <c:pt idx="1551">
                  <c:v>31.02</c:v>
                </c:pt>
                <c:pt idx="1552">
                  <c:v>31.04</c:v>
                </c:pt>
                <c:pt idx="1553">
                  <c:v>31.06</c:v>
                </c:pt>
                <c:pt idx="1554">
                  <c:v>31.08</c:v>
                </c:pt>
                <c:pt idx="1555">
                  <c:v>31.1</c:v>
                </c:pt>
                <c:pt idx="1556">
                  <c:v>31.12</c:v>
                </c:pt>
                <c:pt idx="1557">
                  <c:v>31.14</c:v>
                </c:pt>
              </c:numCache>
            </c:numRef>
          </c:xVal>
          <c:yVal>
            <c:numRef>
              <c:f>'EL CENTRO '!$F$3:$F$1560</c:f>
              <c:numCache>
                <c:formatCode>General</c:formatCode>
                <c:ptCount val="1558"/>
                <c:pt idx="0">
                  <c:v>-6.3E-3</c:v>
                </c:pt>
                <c:pt idx="1">
                  <c:v>-3.6021999999999994E-3</c:v>
                </c:pt>
                <c:pt idx="2">
                  <c:v>-8.711735999999984E-4</c:v>
                </c:pt>
                <c:pt idx="3">
                  <c:v>-4.0696931167999995E-3</c:v>
                </c:pt>
                <c:pt idx="4">
                  <c:v>-7.229376316198393E-3</c:v>
                </c:pt>
                <c:pt idx="5">
                  <c:v>-1.0292306999802405E-2</c:v>
                </c:pt>
                <c:pt idx="6">
                  <c:v>-5.8917299994088266E-3</c:v>
                </c:pt>
                <c:pt idx="7">
                  <c:v>-1.4204522390222889E-3</c:v>
                </c:pt>
                <c:pt idx="8">
                  <c:v>3.0678709482325093E-3</c:v>
                </c:pt>
                <c:pt idx="9">
                  <c:v>-1.4906203158915967E-3</c:v>
                </c:pt>
                <c:pt idx="10">
                  <c:v>-6.0312241362247606E-3</c:v>
                </c:pt>
                <c:pt idx="11">
                  <c:v>-1.0499453266923454E-2</c:v>
                </c:pt>
                <c:pt idx="12">
                  <c:v>-3.5516889584189817E-3</c:v>
                </c:pt>
                <c:pt idx="13">
                  <c:v>3.4386956175865798E-3</c:v>
                </c:pt>
                <c:pt idx="14">
                  <c:v>7.9781584618094942E-4</c:v>
                </c:pt>
                <c:pt idx="15">
                  <c:v>3.3973622846212425E-3</c:v>
                </c:pt>
                <c:pt idx="16">
                  <c:v>5.9661403756461557E-3</c:v>
                </c:pt>
                <c:pt idx="17">
                  <c:v>2.2333247821631898E-3</c:v>
                </c:pt>
                <c:pt idx="18">
                  <c:v>-1.5262907087057096E-3</c:v>
                </c:pt>
                <c:pt idx="19">
                  <c:v>-5.2675907110702434E-3</c:v>
                </c:pt>
                <c:pt idx="20">
                  <c:v>-8.9456796249015799E-3</c:v>
                </c:pt>
                <c:pt idx="21">
                  <c:v>1.2273579616765427E-2</c:v>
                </c:pt>
                <c:pt idx="22">
                  <c:v>3.3355555903031686E-2</c:v>
                </c:pt>
                <c:pt idx="23">
                  <c:v>1.9387265518461053E-2</c:v>
                </c:pt>
                <c:pt idx="24">
                  <c:v>5.1863279476695497E-3</c:v>
                </c:pt>
                <c:pt idx="25">
                  <c:v>3.8831544415057436E-3</c:v>
                </c:pt>
                <c:pt idx="26">
                  <c:v>-7.5966169179563217E-3</c:v>
                </c:pt>
                <c:pt idx="27">
                  <c:v>-1.8995228874402723E-2</c:v>
                </c:pt>
                <c:pt idx="28">
                  <c:v>-3.0155898084356498E-2</c:v>
                </c:pt>
                <c:pt idx="29">
                  <c:v>-1.5154696517297936E-2</c:v>
                </c:pt>
                <c:pt idx="30">
                  <c:v>1.8361407968478819E-5</c:v>
                </c:pt>
                <c:pt idx="31">
                  <c:v>9.911989963388209E-4</c:v>
                </c:pt>
                <c:pt idx="32">
                  <c:v>1.9621421967536048E-3</c:v>
                </c:pt>
                <c:pt idx="33">
                  <c:v>2.8995396908068831E-3</c:v>
                </c:pt>
                <c:pt idx="34">
                  <c:v>1.7242142708570649E-2</c:v>
                </c:pt>
                <c:pt idx="35">
                  <c:v>3.1377840013831759E-2</c:v>
                </c:pt>
                <c:pt idx="36">
                  <c:v>4.51370032389267E-2</c:v>
                </c:pt>
                <c:pt idx="37">
                  <c:v>4.5804522425154634E-2</c:v>
                </c:pt>
                <c:pt idx="38">
                  <c:v>6.8272387342280721E-2</c:v>
                </c:pt>
                <c:pt idx="39">
                  <c:v>5.4450983611299027E-2</c:v>
                </c:pt>
                <c:pt idx="40">
                  <c:v>3.9986168076982312E-2</c:v>
                </c:pt>
                <c:pt idx="41">
                  <c:v>3.5471518525741444E-2</c:v>
                </c:pt>
                <c:pt idx="42">
                  <c:v>3.0531210752191822E-2</c:v>
                </c:pt>
                <c:pt idx="43">
                  <c:v>2.5224528449615893E-2</c:v>
                </c:pt>
                <c:pt idx="44">
                  <c:v>1.9615151805644451E-2</c:v>
                </c:pt>
                <c:pt idx="45">
                  <c:v>2.872039334000584E-2</c:v>
                </c:pt>
                <c:pt idx="46">
                  <c:v>3.7480990154286201E-2</c:v>
                </c:pt>
                <c:pt idx="47">
                  <c:v>4.579181508671535E-2</c:v>
                </c:pt>
                <c:pt idx="48">
                  <c:v>5.3553138238104356E-2</c:v>
                </c:pt>
                <c:pt idx="49">
                  <c:v>3.3971823730635717E-2</c:v>
                </c:pt>
                <c:pt idx="50">
                  <c:v>1.3992847338400938E-2</c:v>
                </c:pt>
                <c:pt idx="51">
                  <c:v>-6.154043221896408E-3</c:v>
                </c:pt>
                <c:pt idx="52">
                  <c:v>-1.2527085263530201E-2</c:v>
                </c:pt>
                <c:pt idx="53">
                  <c:v>-1.8739802282002588E-2</c:v>
                </c:pt>
                <c:pt idx="54">
                  <c:v>-4.4077641673090751E-2</c:v>
                </c:pt>
                <c:pt idx="55">
                  <c:v>-6.8886549364101504E-2</c:v>
                </c:pt>
                <c:pt idx="56">
                  <c:v>-9.2868818462743391E-2</c:v>
                </c:pt>
                <c:pt idx="57">
                  <c:v>-0.1157366617398313</c:v>
                </c:pt>
                <c:pt idx="58">
                  <c:v>-0.13721566507604133</c:v>
                </c:pt>
                <c:pt idx="59">
                  <c:v>-0.15704808043133989</c:v>
                </c:pt>
                <c:pt idx="60">
                  <c:v>-0.17499591882145971</c:v>
                </c:pt>
                <c:pt idx="61">
                  <c:v>-0.12855380618572451</c:v>
                </c:pt>
                <c:pt idx="62">
                  <c:v>-8.0579047875763574E-2</c:v>
                </c:pt>
                <c:pt idx="63">
                  <c:v>-3.1627340991289457E-2</c:v>
                </c:pt>
                <c:pt idx="64">
                  <c:v>1.7703893985080179E-2</c:v>
                </c:pt>
                <c:pt idx="65">
                  <c:v>6.6812682233629253E-2</c:v>
                </c:pt>
                <c:pt idx="66">
                  <c:v>0.1151297182953718</c:v>
                </c:pt>
                <c:pt idx="67">
                  <c:v>7.564519773757343E-2</c:v>
                </c:pt>
                <c:pt idx="68">
                  <c:v>3.5262934806921747E-2</c:v>
                </c:pt>
                <c:pt idx="69">
                  <c:v>4.0297516658588536E-2</c:v>
                </c:pt>
                <c:pt idx="70">
                  <c:v>4.4858528310351024E-2</c:v>
                </c:pt>
                <c:pt idx="71">
                  <c:v>4.8881237622389398E-2</c:v>
                </c:pt>
                <c:pt idx="72">
                  <c:v>4.7837372082959392E-2</c:v>
                </c:pt>
                <c:pt idx="73">
                  <c:v>4.6219458078534316E-2</c:v>
                </c:pt>
                <c:pt idx="74">
                  <c:v>4.8746910577165653E-2</c:v>
                </c:pt>
                <c:pt idx="75">
                  <c:v>5.0679400148872567E-2</c:v>
                </c:pt>
                <c:pt idx="76">
                  <c:v>8.0023736918793151E-2</c:v>
                </c:pt>
                <c:pt idx="77">
                  <c:v>2.4777788845686276E-2</c:v>
                </c:pt>
                <c:pt idx="78">
                  <c:v>-3.0775492693568156E-2</c:v>
                </c:pt>
                <c:pt idx="79">
                  <c:v>-8.5949468320499448E-2</c:v>
                </c:pt>
                <c:pt idx="80">
                  <c:v>-0.14009205032758507</c:v>
                </c:pt>
                <c:pt idx="81">
                  <c:v>-0.19256352773073873</c:v>
                </c:pt>
                <c:pt idx="82">
                  <c:v>-0.24271424280112477</c:v>
                </c:pt>
                <c:pt idx="83">
                  <c:v>-0.28995238695789671</c:v>
                </c:pt>
                <c:pt idx="84">
                  <c:v>-0.26264110247117389</c:v>
                </c:pt>
                <c:pt idx="85">
                  <c:v>-0.23216812475479609</c:v>
                </c:pt>
                <c:pt idx="86">
                  <c:v>-0.19890912954136147</c:v>
                </c:pt>
                <c:pt idx="87">
                  <c:v>-0.1632732247734304</c:v>
                </c:pt>
                <c:pt idx="88">
                  <c:v>-0.12566804130821868</c:v>
                </c:pt>
                <c:pt idx="89">
                  <c:v>-0.12094484134730714</c:v>
                </c:pt>
                <c:pt idx="90">
                  <c:v>-0.11478030329023026</c:v>
                </c:pt>
                <c:pt idx="91">
                  <c:v>-4.6318401593668311E-2</c:v>
                </c:pt>
                <c:pt idx="92">
                  <c:v>2.2699320922018717E-2</c:v>
                </c:pt>
                <c:pt idx="93">
                  <c:v>9.1434651586640589E-2</c:v>
                </c:pt>
                <c:pt idx="94">
                  <c:v>0.15908276643221808</c:v>
                </c:pt>
                <c:pt idx="95">
                  <c:v>0.22482188808061299</c:v>
                </c:pt>
                <c:pt idx="96">
                  <c:v>0.28786314707203919</c:v>
                </c:pt>
                <c:pt idx="97">
                  <c:v>0.34744004829859998</c:v>
                </c:pt>
                <c:pt idx="98">
                  <c:v>0.40285766894558417</c:v>
                </c:pt>
                <c:pt idx="99">
                  <c:v>0.45344099756521294</c:v>
                </c:pt>
                <c:pt idx="100">
                  <c:v>0.49857303421405991</c:v>
                </c:pt>
                <c:pt idx="101">
                  <c:v>0.53773219445234788</c:v>
                </c:pt>
                <c:pt idx="102">
                  <c:v>0.45675856835719791</c:v>
                </c:pt>
                <c:pt idx="103">
                  <c:v>0.37030383944177192</c:v>
                </c:pt>
                <c:pt idx="104">
                  <c:v>0.27941546445303578</c:v>
                </c:pt>
                <c:pt idx="105">
                  <c:v>0.18516410389086099</c:v>
                </c:pt>
                <c:pt idx="106">
                  <c:v>8.8690774082001822E-2</c:v>
                </c:pt>
                <c:pt idx="107">
                  <c:v>-8.8468450158463198E-3</c:v>
                </c:pt>
                <c:pt idx="108">
                  <c:v>-0.10627830197350106</c:v>
                </c:pt>
                <c:pt idx="109">
                  <c:v>-0.20243441930747444</c:v>
                </c:pt>
                <c:pt idx="110">
                  <c:v>-0.296161323609758</c:v>
                </c:pt>
                <c:pt idx="111">
                  <c:v>-0.25133429202872398</c:v>
                </c:pt>
                <c:pt idx="112">
                  <c:v>-0.20348124894334621</c:v>
                </c:pt>
                <c:pt idx="113">
                  <c:v>-0.15319643087064794</c:v>
                </c:pt>
                <c:pt idx="114">
                  <c:v>-0.10107325562750129</c:v>
                </c:pt>
                <c:pt idx="115">
                  <c:v>-4.7737201316823838E-2</c:v>
                </c:pt>
                <c:pt idx="116">
                  <c:v>6.1716994096511994E-3</c:v>
                </c:pt>
                <c:pt idx="117">
                  <c:v>6.0006539743214564E-2</c:v>
                </c:pt>
                <c:pt idx="118">
                  <c:v>0.11313130159985862</c:v>
                </c:pt>
                <c:pt idx="119">
                  <c:v>0.16488848783730198</c:v>
                </c:pt>
                <c:pt idx="120">
                  <c:v>-0.1469529877793003</c:v>
                </c:pt>
                <c:pt idx="121">
                  <c:v>-0.45703102754254993</c:v>
                </c:pt>
                <c:pt idx="122">
                  <c:v>-0.39923469497528613</c:v>
                </c:pt>
                <c:pt idx="123">
                  <c:v>-0.33665754606832526</c:v>
                </c:pt>
                <c:pt idx="124">
                  <c:v>-0.27003050660854472</c:v>
                </c:pt>
                <c:pt idx="125">
                  <c:v>-0.20016310106945417</c:v>
                </c:pt>
                <c:pt idx="126">
                  <c:v>-0.12789373831753775</c:v>
                </c:pt>
                <c:pt idx="127">
                  <c:v>-0.18456965070580553</c:v>
                </c:pt>
                <c:pt idx="128">
                  <c:v>-0.23903072728560834</c:v>
                </c:pt>
                <c:pt idx="129">
                  <c:v>-0.29061343513797849</c:v>
                </c:pt>
                <c:pt idx="130">
                  <c:v>-0.33871878176869968</c:v>
                </c:pt>
                <c:pt idx="131">
                  <c:v>-0.30099950301818801</c:v>
                </c:pt>
                <c:pt idx="132">
                  <c:v>-0.2596582302314635</c:v>
                </c:pt>
                <c:pt idx="133">
                  <c:v>-0.20002105868196238</c:v>
                </c:pt>
                <c:pt idx="134">
                  <c:v>-0.13798363442827563</c:v>
                </c:pt>
                <c:pt idx="135">
                  <c:v>-7.4290406561450487E-2</c:v>
                </c:pt>
                <c:pt idx="136">
                  <c:v>-9.7056938158873816E-3</c:v>
                </c:pt>
                <c:pt idx="137">
                  <c:v>5.4995487255466179E-2</c:v>
                </c:pt>
                <c:pt idx="138">
                  <c:v>0.11903672247975342</c:v>
                </c:pt>
                <c:pt idx="139">
                  <c:v>0.12288951703428359</c:v>
                </c:pt>
                <c:pt idx="140">
                  <c:v>0.12527763738440786</c:v>
                </c:pt>
                <c:pt idx="141">
                  <c:v>0.12615242608591312</c:v>
                </c:pt>
                <c:pt idx="142">
                  <c:v>0.13051338567438875</c:v>
                </c:pt>
                <c:pt idx="143">
                  <c:v>0.13330818463476879</c:v>
                </c:pt>
                <c:pt idx="144">
                  <c:v>0.13451328537953181</c:v>
                </c:pt>
                <c:pt idx="145">
                  <c:v>0.20011422669974008</c:v>
                </c:pt>
                <c:pt idx="146">
                  <c:v>0.26331379729956345</c:v>
                </c:pt>
                <c:pt idx="147">
                  <c:v>0.32335360233178012</c:v>
                </c:pt>
                <c:pt idx="148">
                  <c:v>0.37952316413601866</c:v>
                </c:pt>
                <c:pt idx="149">
                  <c:v>0.34194844797062574</c:v>
                </c:pt>
                <c:pt idx="150">
                  <c:v>0.30026035042958821</c:v>
                </c:pt>
                <c:pt idx="151">
                  <c:v>0.25497912868339706</c:v>
                </c:pt>
                <c:pt idx="152">
                  <c:v>0.29073815739300013</c:v>
                </c:pt>
                <c:pt idx="153">
                  <c:v>0.32300832821388104</c:v>
                </c:pt>
                <c:pt idx="154">
                  <c:v>0.35141239909619765</c:v>
                </c:pt>
                <c:pt idx="155">
                  <c:v>0.37558952118935812</c:v>
                </c:pt>
                <c:pt idx="156">
                  <c:v>0.39525956902825965</c:v>
                </c:pt>
                <c:pt idx="157">
                  <c:v>0.32924650203880901</c:v>
                </c:pt>
                <c:pt idx="158">
                  <c:v>0.25928247702490176</c:v>
                </c:pt>
                <c:pt idx="159">
                  <c:v>0.18620706228669084</c:v>
                </c:pt>
                <c:pt idx="160">
                  <c:v>0.11090716280104081</c:v>
                </c:pt>
                <c:pt idx="161">
                  <c:v>0.14501637736177764</c:v>
                </c:pt>
                <c:pt idx="162">
                  <c:v>0.17738539539417386</c:v>
                </c:pt>
                <c:pt idx="163">
                  <c:v>0.20762578868184034</c:v>
                </c:pt>
                <c:pt idx="164">
                  <c:v>8.4744672505323873E-2</c:v>
                </c:pt>
                <c:pt idx="165">
                  <c:v>-3.9143379741257263E-2</c:v>
                </c:pt>
                <c:pt idx="166">
                  <c:v>-0.16257171143093826</c:v>
                </c:pt>
                <c:pt idx="167">
                  <c:v>-0.28403918258345856</c:v>
                </c:pt>
                <c:pt idx="168">
                  <c:v>-0.40210818354496303</c:v>
                </c:pt>
                <c:pt idx="169">
                  <c:v>-0.36330188630393639</c:v>
                </c:pt>
                <c:pt idx="170">
                  <c:v>-0.32013596642726549</c:v>
                </c:pt>
                <c:pt idx="171">
                  <c:v>-0.27312841495346318</c:v>
                </c:pt>
                <c:pt idx="172">
                  <c:v>-0.22284332250022651</c:v>
                </c:pt>
                <c:pt idx="173">
                  <c:v>-0.30852411017698222</c:v>
                </c:pt>
                <c:pt idx="174">
                  <c:v>-0.39051260853160702</c:v>
                </c:pt>
                <c:pt idx="175">
                  <c:v>-0.46781495558386071</c:v>
                </c:pt>
                <c:pt idx="176">
                  <c:v>-0.53950352316909678</c:v>
                </c:pt>
                <c:pt idx="177">
                  <c:v>-0.47785804847631524</c:v>
                </c:pt>
                <c:pt idx="178">
                  <c:v>-0.41047827720181673</c:v>
                </c:pt>
                <c:pt idx="179">
                  <c:v>-0.33818276660089064</c:v>
                </c:pt>
                <c:pt idx="180">
                  <c:v>-0.34045906280076066</c:v>
                </c:pt>
                <c:pt idx="181">
                  <c:v>-0.33864985024701766</c:v>
                </c:pt>
                <c:pt idx="182">
                  <c:v>-0.3327868394903139</c:v>
                </c:pt>
                <c:pt idx="183">
                  <c:v>-0.32292038665972722</c:v>
                </c:pt>
                <c:pt idx="184">
                  <c:v>-0.24529888918921675</c:v>
                </c:pt>
                <c:pt idx="185">
                  <c:v>-0.16474380504843608</c:v>
                </c:pt>
                <c:pt idx="186">
                  <c:v>-8.2211795247078043E-2</c:v>
                </c:pt>
                <c:pt idx="187">
                  <c:v>-7.3943243902757944E-2</c:v>
                </c:pt>
                <c:pt idx="188">
                  <c:v>-6.4787373631600337E-2</c:v>
                </c:pt>
                <c:pt idx="189">
                  <c:v>-3.932405487686514E-2</c:v>
                </c:pt>
                <c:pt idx="190">
                  <c:v>-1.3388847463607348E-2</c:v>
                </c:pt>
                <c:pt idx="191">
                  <c:v>1.2697026119214746E-2</c:v>
                </c:pt>
                <c:pt idx="192">
                  <c:v>0.10694053538860522</c:v>
                </c:pt>
                <c:pt idx="193">
                  <c:v>0.19989075823333058</c:v>
                </c:pt>
                <c:pt idx="194">
                  <c:v>0.29045229197925942</c:v>
                </c:pt>
                <c:pt idx="195">
                  <c:v>0.37752839822143519</c:v>
                </c:pt>
                <c:pt idx="196">
                  <c:v>0.36441416368495572</c:v>
                </c:pt>
                <c:pt idx="197">
                  <c:v>0.34692695918425542</c:v>
                </c:pt>
                <c:pt idx="198">
                  <c:v>0.32528663117334028</c:v>
                </c:pt>
                <c:pt idx="199">
                  <c:v>0.29973286358835927</c:v>
                </c:pt>
                <c:pt idx="200">
                  <c:v>0.27058230164030572</c:v>
                </c:pt>
                <c:pt idx="201">
                  <c:v>0.31251475207256724</c:v>
                </c:pt>
                <c:pt idx="202">
                  <c:v>0.3506970254799589</c:v>
                </c:pt>
                <c:pt idx="203">
                  <c:v>0.33066093458159179</c:v>
                </c:pt>
                <c:pt idx="204">
                  <c:v>0.30664691246825093</c:v>
                </c:pt>
                <c:pt idx="205">
                  <c:v>0.27896312740528262</c:v>
                </c:pt>
                <c:pt idx="206">
                  <c:v>0.30481178481345755</c:v>
                </c:pt>
                <c:pt idx="207">
                  <c:v>0.32700270080386962</c:v>
                </c:pt>
                <c:pt idx="208">
                  <c:v>0.3452695843846314</c:v>
                </c:pt>
                <c:pt idx="209">
                  <c:v>0.35939323295278375</c:v>
                </c:pt>
                <c:pt idx="210">
                  <c:v>0.36920416272549594</c:v>
                </c:pt>
                <c:pt idx="211">
                  <c:v>0.37458464254550577</c:v>
                </c:pt>
                <c:pt idx="212">
                  <c:v>0.37547010665496994</c:v>
                </c:pt>
                <c:pt idx="213">
                  <c:v>0.28929992948457633</c:v>
                </c:pt>
                <c:pt idx="214">
                  <c:v>0.19965815316036406</c:v>
                </c:pt>
                <c:pt idx="215">
                  <c:v>0.10762047899823095</c:v>
                </c:pt>
                <c:pt idx="216">
                  <c:v>1.429135908811714E-2</c:v>
                </c:pt>
                <c:pt idx="217">
                  <c:v>-7.920925713105581E-2</c:v>
                </c:pt>
                <c:pt idx="218">
                  <c:v>-0.17176936226465317</c:v>
                </c:pt>
                <c:pt idx="219">
                  <c:v>-0.26225823505107365</c:v>
                </c:pt>
                <c:pt idx="220">
                  <c:v>-0.34960000901688121</c:v>
                </c:pt>
                <c:pt idx="221">
                  <c:v>-0.33636658287449372</c:v>
                </c:pt>
                <c:pt idx="222">
                  <c:v>-0.31909675773760404</c:v>
                </c:pt>
                <c:pt idx="223">
                  <c:v>-0.29799777150787354</c:v>
                </c:pt>
                <c:pt idx="224">
                  <c:v>-0.37557281202003651</c:v>
                </c:pt>
                <c:pt idx="225">
                  <c:v>-0.44864097878796139</c:v>
                </c:pt>
                <c:pt idx="226">
                  <c:v>-0.51632545381043082</c:v>
                </c:pt>
                <c:pt idx="227">
                  <c:v>-0.57782402338718475</c:v>
                </c:pt>
                <c:pt idx="228">
                  <c:v>-0.63237870468327895</c:v>
                </c:pt>
                <c:pt idx="229">
                  <c:v>-0.53393484152317727</c:v>
                </c:pt>
                <c:pt idx="230">
                  <c:v>-0.42908376026480272</c:v>
                </c:pt>
                <c:pt idx="231">
                  <c:v>-0.31909367388324728</c:v>
                </c:pt>
                <c:pt idx="232">
                  <c:v>-0.20526446341510068</c:v>
                </c:pt>
                <c:pt idx="233">
                  <c:v>-8.8972079385959274E-2</c:v>
                </c:pt>
                <c:pt idx="234">
                  <c:v>-0.19688203040419891</c:v>
                </c:pt>
                <c:pt idx="235">
                  <c:v>-0.30242939705757638</c:v>
                </c:pt>
                <c:pt idx="236">
                  <c:v>-0.22361761094626814</c:v>
                </c:pt>
                <c:pt idx="237">
                  <c:v>-0.14212241350360477</c:v>
                </c:pt>
                <c:pt idx="238">
                  <c:v>-5.8921747098898559E-2</c:v>
                </c:pt>
                <c:pt idx="239">
                  <c:v>2.498598027099062E-2</c:v>
                </c:pt>
                <c:pt idx="240">
                  <c:v>0.10859387587763207</c:v>
                </c:pt>
                <c:pt idx="241">
                  <c:v>0.19089864497374262</c:v>
                </c:pt>
                <c:pt idx="242">
                  <c:v>0.27091263033016671</c:v>
                </c:pt>
                <c:pt idx="243">
                  <c:v>0.18633566412262953</c:v>
                </c:pt>
                <c:pt idx="244">
                  <c:v>9.9522669945620132E-2</c:v>
                </c:pt>
                <c:pt idx="245">
                  <c:v>1.150540372926636E-2</c:v>
                </c:pt>
                <c:pt idx="246">
                  <c:v>-7.6639927331842689E-2</c:v>
                </c:pt>
                <c:pt idx="247">
                  <c:v>-1.3965579264967488E-2</c:v>
                </c:pt>
                <c:pt idx="248">
                  <c:v>4.8876355753081718E-2</c:v>
                </c:pt>
                <c:pt idx="249">
                  <c:v>0.11112177450210312</c:v>
                </c:pt>
                <c:pt idx="250">
                  <c:v>0.17204373195709408</c:v>
                </c:pt>
                <c:pt idx="251">
                  <c:v>0.1323311646286027</c:v>
                </c:pt>
                <c:pt idx="252">
                  <c:v>9.1020623324564523E-2</c:v>
                </c:pt>
                <c:pt idx="253">
                  <c:v>4.8627834540637856E-2</c:v>
                </c:pt>
                <c:pt idx="254">
                  <c:v>0.10515151174221582</c:v>
                </c:pt>
                <c:pt idx="255">
                  <c:v>0.16042337080289426</c:v>
                </c:pt>
                <c:pt idx="256">
                  <c:v>0.2137701494139268</c:v>
                </c:pt>
                <c:pt idx="257">
                  <c:v>0.26454168623200014</c:v>
                </c:pt>
                <c:pt idx="258">
                  <c:v>0.31214872281528583</c:v>
                </c:pt>
                <c:pt idx="259">
                  <c:v>0.28458997472479047</c:v>
                </c:pt>
                <c:pt idx="260">
                  <c:v>0.25361614693760087</c:v>
                </c:pt>
                <c:pt idx="261">
                  <c:v>0.21959892538715459</c:v>
                </c:pt>
                <c:pt idx="262">
                  <c:v>0.24758651673206875</c:v>
                </c:pt>
                <c:pt idx="263">
                  <c:v>0.27260306987620525</c:v>
                </c:pt>
                <c:pt idx="264">
                  <c:v>0.29434838618181031</c:v>
                </c:pt>
                <c:pt idx="265">
                  <c:v>0.31256152185324143</c:v>
                </c:pt>
                <c:pt idx="266">
                  <c:v>0.32702391926242663</c:v>
                </c:pt>
                <c:pt idx="267">
                  <c:v>0.24255202964046546</c:v>
                </c:pt>
                <c:pt idx="268">
                  <c:v>0.15515951566282599</c:v>
                </c:pt>
                <c:pt idx="269">
                  <c:v>6.5915087497229241E-2</c:v>
                </c:pt>
                <c:pt idx="270">
                  <c:v>0.10873967828166353</c:v>
                </c:pt>
                <c:pt idx="271">
                  <c:v>0.15025939292672177</c:v>
                </c:pt>
                <c:pt idx="272">
                  <c:v>0.1899859948566564</c:v>
                </c:pt>
                <c:pt idx="273">
                  <c:v>0.22742276484831089</c:v>
                </c:pt>
                <c:pt idx="274">
                  <c:v>0.16430046166178575</c:v>
                </c:pt>
                <c:pt idx="275">
                  <c:v>9.9206552935319062E-2</c:v>
                </c:pt>
                <c:pt idx="276">
                  <c:v>3.2922165573628981E-2</c:v>
                </c:pt>
                <c:pt idx="277">
                  <c:v>-3.3757287774944751E-2</c:v>
                </c:pt>
                <c:pt idx="278">
                  <c:v>-3.5681653670217424E-2</c:v>
                </c:pt>
                <c:pt idx="279">
                  <c:v>-3.7167839721449769E-2</c:v>
                </c:pt>
                <c:pt idx="280">
                  <c:v>-3.8218011696024373E-2</c:v>
                </c:pt>
                <c:pt idx="281">
                  <c:v>-3.8799567530244973E-2</c:v>
                </c:pt>
                <c:pt idx="282">
                  <c:v>-3.8925528554108885E-2</c:v>
                </c:pt>
                <c:pt idx="283">
                  <c:v>-3.85743832353189E-2</c:v>
                </c:pt>
                <c:pt idx="284">
                  <c:v>-0.1212303453177084</c:v>
                </c:pt>
                <c:pt idx="285">
                  <c:v>-0.2024315432562788</c:v>
                </c:pt>
                <c:pt idx="286">
                  <c:v>-0.28119356267577134</c:v>
                </c:pt>
                <c:pt idx="287">
                  <c:v>-0.35659125934315877</c:v>
                </c:pt>
                <c:pt idx="288">
                  <c:v>-0.36287986089842889</c:v>
                </c:pt>
                <c:pt idx="289">
                  <c:v>-0.36482390412292343</c:v>
                </c:pt>
                <c:pt idx="290">
                  <c:v>-0.36238006049793547</c:v>
                </c:pt>
                <c:pt idx="291">
                  <c:v>-0.38289765614697885</c:v>
                </c:pt>
                <c:pt idx="292">
                  <c:v>-0.39881047992225499</c:v>
                </c:pt>
                <c:pt idx="293">
                  <c:v>-0.40120757793846162</c:v>
                </c:pt>
                <c:pt idx="294">
                  <c:v>-0.39880018501940812</c:v>
                </c:pt>
                <c:pt idx="295">
                  <c:v>-0.44170718988012414</c:v>
                </c:pt>
                <c:pt idx="296">
                  <c:v>-0.41972370846228219</c:v>
                </c:pt>
                <c:pt idx="297">
                  <c:v>-0.40458354254287521</c:v>
                </c:pt>
                <c:pt idx="298">
                  <c:v>-0.38458837411297314</c:v>
                </c:pt>
                <c:pt idx="299">
                  <c:v>-0.33317814519370509</c:v>
                </c:pt>
                <c:pt idx="300">
                  <c:v>-0.27775977853211009</c:v>
                </c:pt>
                <c:pt idx="301">
                  <c:v>-0.21900829452813769</c:v>
                </c:pt>
                <c:pt idx="302">
                  <c:v>-0.15763871098982896</c:v>
                </c:pt>
                <c:pt idx="303">
                  <c:v>-0.15551746291963706</c:v>
                </c:pt>
                <c:pt idx="304">
                  <c:v>-0.15153000529441138</c:v>
                </c:pt>
                <c:pt idx="305">
                  <c:v>-0.14572418760565417</c:v>
                </c:pt>
                <c:pt idx="306">
                  <c:v>-7.0309679665625735E-2</c:v>
                </c:pt>
                <c:pt idx="307">
                  <c:v>5.938544430389046E-3</c:v>
                </c:pt>
                <c:pt idx="308">
                  <c:v>8.2125505993237924E-2</c:v>
                </c:pt>
                <c:pt idx="309">
                  <c:v>9.9916961484168995E-2</c:v>
                </c:pt>
                <c:pt idx="310">
                  <c:v>0.11651941343728986</c:v>
                </c:pt>
                <c:pt idx="311">
                  <c:v>0.17598363242916393</c:v>
                </c:pt>
                <c:pt idx="312">
                  <c:v>0.23332604783188413</c:v>
                </c:pt>
                <c:pt idx="313">
                  <c:v>0.28786855066062489</c:v>
                </c:pt>
                <c:pt idx="314">
                  <c:v>0.33895663088143785</c:v>
                </c:pt>
                <c:pt idx="315">
                  <c:v>0.38598723153167919</c:v>
                </c:pt>
                <c:pt idx="316">
                  <c:v>0.37371598540352713</c:v>
                </c:pt>
                <c:pt idx="317">
                  <c:v>0.35696014745054128</c:v>
                </c:pt>
                <c:pt idx="318">
                  <c:v>0.39056078772815944</c:v>
                </c:pt>
                <c:pt idx="319">
                  <c:v>0.41947469855301878</c:v>
                </c:pt>
                <c:pt idx="320">
                  <c:v>0.41820491299525936</c:v>
                </c:pt>
                <c:pt idx="321">
                  <c:v>0.41191666848154701</c:v>
                </c:pt>
                <c:pt idx="322">
                  <c:v>0.4120354239460543</c:v>
                </c:pt>
                <c:pt idx="323">
                  <c:v>0.40719975432321542</c:v>
                </c:pt>
                <c:pt idx="324">
                  <c:v>0.39747768764850089</c:v>
                </c:pt>
                <c:pt idx="325">
                  <c:v>0.38695588872198444</c:v>
                </c:pt>
                <c:pt idx="326">
                  <c:v>0.37178061913082422</c:v>
                </c:pt>
                <c:pt idx="327">
                  <c:v>0.33105398211008724</c:v>
                </c:pt>
                <c:pt idx="328">
                  <c:v>0.28635469730402524</c:v>
                </c:pt>
                <c:pt idx="329">
                  <c:v>0.23821915613032266</c:v>
                </c:pt>
                <c:pt idx="330">
                  <c:v>0.18722498508305693</c:v>
                </c:pt>
                <c:pt idx="331">
                  <c:v>0.16727411421478933</c:v>
                </c:pt>
                <c:pt idx="332">
                  <c:v>0.14531595397594751</c:v>
                </c:pt>
                <c:pt idx="333">
                  <c:v>0.12161400228939516</c:v>
                </c:pt>
                <c:pt idx="334">
                  <c:v>9.6452682575366197E-2</c:v>
                </c:pt>
                <c:pt idx="335">
                  <c:v>1.3703930670434544E-2</c:v>
                </c:pt>
                <c:pt idx="336">
                  <c:v>-2.8289268402542513E-2</c:v>
                </c:pt>
                <c:pt idx="337">
                  <c:v>-6.994299625468825E-2</c:v>
                </c:pt>
                <c:pt idx="338">
                  <c:v>-0.11075740815178012</c:v>
                </c:pt>
                <c:pt idx="339">
                  <c:v>-0.15565273115104902</c:v>
                </c:pt>
                <c:pt idx="340">
                  <c:v>-0.19868022137650795</c:v>
                </c:pt>
                <c:pt idx="341">
                  <c:v>-0.21898354894544103</c:v>
                </c:pt>
                <c:pt idx="342">
                  <c:v>-0.23665907392703045</c:v>
                </c:pt>
                <c:pt idx="343">
                  <c:v>-0.25149469002150837</c:v>
                </c:pt>
                <c:pt idx="344">
                  <c:v>-0.26331236983571316</c:v>
                </c:pt>
                <c:pt idx="345">
                  <c:v>-0.27197030121189902</c:v>
                </c:pt>
                <c:pt idx="346">
                  <c:v>-0.2773545889735336</c:v>
                </c:pt>
                <c:pt idx="347">
                  <c:v>-0.33040062166749851</c:v>
                </c:pt>
                <c:pt idx="348">
                  <c:v>-0.37948184690143272</c:v>
                </c:pt>
                <c:pt idx="349">
                  <c:v>-0.42399928997257413</c:v>
                </c:pt>
                <c:pt idx="350">
                  <c:v>-0.46343874156402115</c:v>
                </c:pt>
                <c:pt idx="351">
                  <c:v>-0.44398692825672009</c:v>
                </c:pt>
                <c:pt idx="352">
                  <c:v>-0.4192072718103238</c:v>
                </c:pt>
                <c:pt idx="353">
                  <c:v>-0.38939712810221422</c:v>
                </c:pt>
                <c:pt idx="354">
                  <c:v>-0.41521421885687065</c:v>
                </c:pt>
                <c:pt idx="355">
                  <c:v>-0.4360387389852442</c:v>
                </c:pt>
                <c:pt idx="356">
                  <c:v>-0.39060079424580674</c:v>
                </c:pt>
                <c:pt idx="357">
                  <c:v>-0.34047563997540664</c:v>
                </c:pt>
                <c:pt idx="358">
                  <c:v>-0.28626477802530526</c:v>
                </c:pt>
                <c:pt idx="359">
                  <c:v>-0.22861873873889804</c:v>
                </c:pt>
                <c:pt idx="360">
                  <c:v>-0.16822927458762671</c:v>
                </c:pt>
                <c:pt idx="361">
                  <c:v>-0.15163105914130659</c:v>
                </c:pt>
                <c:pt idx="362">
                  <c:v>-0.13321327098528332</c:v>
                </c:pt>
                <c:pt idx="363">
                  <c:v>-0.11319692357744626</c:v>
                </c:pt>
                <c:pt idx="364">
                  <c:v>-5.2702213086673909E-2</c:v>
                </c:pt>
                <c:pt idx="365">
                  <c:v>-8.4650760388648005E-3</c:v>
                </c:pt>
                <c:pt idx="366">
                  <c:v>3.587364192141388E-2</c:v>
                </c:pt>
                <c:pt idx="367">
                  <c:v>9.5511876178637392E-2</c:v>
                </c:pt>
                <c:pt idx="368">
                  <c:v>0.15401396792171557</c:v>
                </c:pt>
                <c:pt idx="369">
                  <c:v>0.21066789204972564</c:v>
                </c:pt>
                <c:pt idx="370">
                  <c:v>0.26479380147314929</c:v>
                </c:pt>
                <c:pt idx="371">
                  <c:v>0.29032218527888509</c:v>
                </c:pt>
                <c:pt idx="372">
                  <c:v>0.31236670286128709</c:v>
                </c:pt>
                <c:pt idx="373">
                  <c:v>0.33066282000934322</c:v>
                </c:pt>
                <c:pt idx="374">
                  <c:v>0.38921098331729398</c:v>
                </c:pt>
                <c:pt idx="375">
                  <c:v>0.44308861482543133</c:v>
                </c:pt>
                <c:pt idx="376">
                  <c:v>0.44342918295567357</c:v>
                </c:pt>
                <c:pt idx="377">
                  <c:v>0.43845860089043642</c:v>
                </c:pt>
                <c:pt idx="378">
                  <c:v>0.42821651561451668</c:v>
                </c:pt>
                <c:pt idx="379">
                  <c:v>0.41284583215122833</c:v>
                </c:pt>
                <c:pt idx="380">
                  <c:v>0.41412099870210844</c:v>
                </c:pt>
                <c:pt idx="381">
                  <c:v>0.41042671326858066</c:v>
                </c:pt>
                <c:pt idx="382">
                  <c:v>0.40180730727582509</c:v>
                </c:pt>
                <c:pt idx="383">
                  <c:v>0.38837621359576102</c:v>
                </c:pt>
                <c:pt idx="384">
                  <c:v>0.37977460535254265</c:v>
                </c:pt>
                <c:pt idx="385">
                  <c:v>0.36661570184510178</c:v>
                </c:pt>
                <c:pt idx="386">
                  <c:v>0.34905740991551543</c:v>
                </c:pt>
                <c:pt idx="387">
                  <c:v>0.30089042906694541</c:v>
                </c:pt>
                <c:pt idx="388">
                  <c:v>0.24912276306956896</c:v>
                </c:pt>
                <c:pt idx="389">
                  <c:v>0.24390562391535686</c:v>
                </c:pt>
                <c:pt idx="390">
                  <c:v>0.18470161727415996</c:v>
                </c:pt>
                <c:pt idx="391">
                  <c:v>0.12327119122567785</c:v>
                </c:pt>
                <c:pt idx="392">
                  <c:v>6.0361510882483385E-2</c:v>
                </c:pt>
                <c:pt idx="393">
                  <c:v>-3.2625075912996911E-3</c:v>
                </c:pt>
                <c:pt idx="394">
                  <c:v>-6.6857375973985042E-2</c:v>
                </c:pt>
                <c:pt idx="395">
                  <c:v>-0.12964995584498815</c:v>
                </c:pt>
                <c:pt idx="396">
                  <c:v>-0.19087673624584378</c:v>
                </c:pt>
                <c:pt idx="397">
                  <c:v>-0.24982299581175621</c:v>
                </c:pt>
                <c:pt idx="398">
                  <c:v>-0.30576137942792642</c:v>
                </c:pt>
                <c:pt idx="399">
                  <c:v>-0.31898062649094933</c:v>
                </c:pt>
                <c:pt idx="400">
                  <c:v>-0.32837210603609174</c:v>
                </c:pt>
                <c:pt idx="401">
                  <c:v>-0.33382312030880934</c:v>
                </c:pt>
                <c:pt idx="402">
                  <c:v>-0.38506825713780118</c:v>
                </c:pt>
                <c:pt idx="403">
                  <c:v>-0.43169257488115481</c:v>
                </c:pt>
                <c:pt idx="404">
                  <c:v>-0.47313658172593465</c:v>
                </c:pt>
                <c:pt idx="405">
                  <c:v>-0.50890294959000415</c:v>
                </c:pt>
                <c:pt idx="406">
                  <c:v>-0.50318248205898253</c:v>
                </c:pt>
                <c:pt idx="407">
                  <c:v>-0.49142382474326796</c:v>
                </c:pt>
                <c:pt idx="408">
                  <c:v>-0.47376808153061845</c:v>
                </c:pt>
                <c:pt idx="409">
                  <c:v>-0.46025712133960622</c:v>
                </c:pt>
                <c:pt idx="410">
                  <c:v>-0.44122307569252356</c:v>
                </c:pt>
                <c:pt idx="411">
                  <c:v>-0.41689435313712292</c:v>
                </c:pt>
                <c:pt idx="412">
                  <c:v>-0.39099289834408546</c:v>
                </c:pt>
                <c:pt idx="413">
                  <c:v>-0.3604095287709167</c:v>
                </c:pt>
                <c:pt idx="414">
                  <c:v>-0.32549124485249137</c:v>
                </c:pt>
                <c:pt idx="415">
                  <c:v>-0.26184706599584023</c:v>
                </c:pt>
                <c:pt idx="416">
                  <c:v>-0.19505072234724452</c:v>
                </c:pt>
                <c:pt idx="417">
                  <c:v>-0.12592377003047017</c:v>
                </c:pt>
                <c:pt idx="418">
                  <c:v>-8.0515732473339541E-2</c:v>
                </c:pt>
                <c:pt idx="419">
                  <c:v>-3.0821506126524716E-2</c:v>
                </c:pt>
                <c:pt idx="420">
                  <c:v>1.9232578293806497E-2</c:v>
                </c:pt>
                <c:pt idx="421">
                  <c:v>6.2045871774611634E-2</c:v>
                </c:pt>
                <c:pt idx="422">
                  <c:v>0.10411461479412076</c:v>
                </c:pt>
                <c:pt idx="423">
                  <c:v>0.14492398243610677</c:v>
                </c:pt>
                <c:pt idx="424">
                  <c:v>0.18400426228885317</c:v>
                </c:pt>
                <c:pt idx="425">
                  <c:v>0.23365649099413993</c:v>
                </c:pt>
                <c:pt idx="426">
                  <c:v>0.2805048418074883</c:v>
                </c:pt>
                <c:pt idx="427">
                  <c:v>0.28078713451914689</c:v>
                </c:pt>
                <c:pt idx="428">
                  <c:v>0.27768998161657993</c:v>
                </c:pt>
                <c:pt idx="429">
                  <c:v>0.27127054893461788</c:v>
                </c:pt>
                <c:pt idx="430">
                  <c:v>0.26158586966543163</c:v>
                </c:pt>
                <c:pt idx="431">
                  <c:v>0.24877215996026592</c:v>
                </c:pt>
                <c:pt idx="432">
                  <c:v>0.30065318433557425</c:v>
                </c:pt>
                <c:pt idx="433">
                  <c:v>0.3489363704988705</c:v>
                </c:pt>
                <c:pt idx="434">
                  <c:v>0.39303232021615975</c:v>
                </c:pt>
                <c:pt idx="435">
                  <c:v>0.43241188209085751</c:v>
                </c:pt>
                <c:pt idx="436">
                  <c:v>0.46660250138047876</c:v>
                </c:pt>
                <c:pt idx="437">
                  <c:v>0.46471389065351731</c:v>
                </c:pt>
                <c:pt idx="438">
                  <c:v>0.45724871323872451</c:v>
                </c:pt>
                <c:pt idx="439">
                  <c:v>0.4443065512650668</c:v>
                </c:pt>
                <c:pt idx="440">
                  <c:v>0.48718271067622015</c:v>
                </c:pt>
                <c:pt idx="441">
                  <c:v>0.52420267755927308</c:v>
                </c:pt>
                <c:pt idx="442">
                  <c:v>0.55494221231160679</c:v>
                </c:pt>
                <c:pt idx="443">
                  <c:v>0.45451244051619794</c:v>
                </c:pt>
                <c:pt idx="444">
                  <c:v>0.34861851943459532</c:v>
                </c:pt>
                <c:pt idx="445">
                  <c:v>0.23854117611978551</c:v>
                </c:pt>
                <c:pt idx="446">
                  <c:v>0.12560133869152959</c:v>
                </c:pt>
                <c:pt idx="447">
                  <c:v>1.1154285198976179E-2</c:v>
                </c:pt>
                <c:pt idx="448">
                  <c:v>5.4633802840374805E-3</c:v>
                </c:pt>
                <c:pt idx="449">
                  <c:v>-2.9308519430972868E-4</c:v>
                </c:pt>
                <c:pt idx="450">
                  <c:v>-8.4666033650325739E-2</c:v>
                </c:pt>
                <c:pt idx="451">
                  <c:v>-0.16802298970253615</c:v>
                </c:pt>
                <c:pt idx="452">
                  <c:v>-7.9723669878315861E-2</c:v>
                </c:pt>
                <c:pt idx="453">
                  <c:v>9.5323339844373585E-3</c:v>
                </c:pt>
                <c:pt idx="454">
                  <c:v>-7.3466050160616442E-2</c:v>
                </c:pt>
                <c:pt idx="455">
                  <c:v>-0.15559284170374355</c:v>
                </c:pt>
                <c:pt idx="456">
                  <c:v>-0.23584251914642895</c:v>
                </c:pt>
                <c:pt idx="457">
                  <c:v>-0.31326208635935271</c:v>
                </c:pt>
                <c:pt idx="458">
                  <c:v>-0.34871250853596258</c:v>
                </c:pt>
                <c:pt idx="459">
                  <c:v>-0.37997838061014799</c:v>
                </c:pt>
                <c:pt idx="460">
                  <c:v>-0.44472451211701075</c:v>
                </c:pt>
                <c:pt idx="461">
                  <c:v>-0.5041339494784528</c:v>
                </c:pt>
                <c:pt idx="462">
                  <c:v>-0.55749377944618206</c:v>
                </c:pt>
                <c:pt idx="463">
                  <c:v>-0.60415368406053349</c:v>
                </c:pt>
                <c:pt idx="464">
                  <c:v>-0.64357374446617066</c:v>
                </c:pt>
                <c:pt idx="465">
                  <c:v>-0.56634091993822999</c:v>
                </c:pt>
                <c:pt idx="466">
                  <c:v>-0.48230200437099008</c:v>
                </c:pt>
                <c:pt idx="467">
                  <c:v>-0.39248546475132479</c:v>
                </c:pt>
                <c:pt idx="468">
                  <c:v>-0.29795909955462968</c:v>
                </c:pt>
                <c:pt idx="469">
                  <c:v>-0.3767072251632938</c:v>
                </c:pt>
                <c:pt idx="470">
                  <c:v>-0.45094486406998308</c:v>
                </c:pt>
                <c:pt idx="471">
                  <c:v>-0.39104116460784466</c:v>
                </c:pt>
                <c:pt idx="472">
                  <c:v>-0.32645497117041522</c:v>
                </c:pt>
                <c:pt idx="473">
                  <c:v>-0.2579413180789315</c:v>
                </c:pt>
                <c:pt idx="474">
                  <c:v>-0.18633236917049451</c:v>
                </c:pt>
                <c:pt idx="475">
                  <c:v>-0.1124974318320298</c:v>
                </c:pt>
                <c:pt idx="476">
                  <c:v>-9.8122525311568939E-2</c:v>
                </c:pt>
                <c:pt idx="477">
                  <c:v>-8.2570148487370529E-2</c:v>
                </c:pt>
                <c:pt idx="478">
                  <c:v>-6.6026929881326718E-2</c:v>
                </c:pt>
                <c:pt idx="479">
                  <c:v>-4.8691388116704475E-2</c:v>
                </c:pt>
                <c:pt idx="480">
                  <c:v>-3.07715496946834E-2</c:v>
                </c:pt>
                <c:pt idx="481">
                  <c:v>5.6437547323675855E-2</c:v>
                </c:pt>
                <c:pt idx="482">
                  <c:v>0.14296939377415277</c:v>
                </c:pt>
                <c:pt idx="483">
                  <c:v>0.22778560749933238</c:v>
                </c:pt>
                <c:pt idx="484">
                  <c:v>0.3098683939345252</c:v>
                </c:pt>
                <c:pt idx="485">
                  <c:v>0.38823275964250042</c:v>
                </c:pt>
                <c:pt idx="486">
                  <c:v>0.40870833223477332</c:v>
                </c:pt>
                <c:pt idx="487">
                  <c:v>0.42428940484021993</c:v>
                </c:pt>
                <c:pt idx="488">
                  <c:v>0.43476900458759393</c:v>
                </c:pt>
                <c:pt idx="489">
                  <c:v>0.44004137627990864</c:v>
                </c:pt>
                <c:pt idx="490">
                  <c:v>0.44002325145686866</c:v>
                </c:pt>
                <c:pt idx="491">
                  <c:v>0.46515484761634923</c:v>
                </c:pt>
                <c:pt idx="492">
                  <c:v>0.44047458560442404</c:v>
                </c:pt>
                <c:pt idx="493">
                  <c:v>0.41050862856524017</c:v>
                </c:pt>
                <c:pt idx="494">
                  <c:v>0.4732165679832917</c:v>
                </c:pt>
                <c:pt idx="495">
                  <c:v>0.53024590858552656</c:v>
                </c:pt>
                <c:pt idx="496">
                  <c:v>0.48948229828475742</c:v>
                </c:pt>
                <c:pt idx="497">
                  <c:v>0.44284490040454733</c:v>
                </c:pt>
                <c:pt idx="498">
                  <c:v>0.39090336371949264</c:v>
                </c:pt>
                <c:pt idx="499">
                  <c:v>0.36558098666980304</c:v>
                </c:pt>
                <c:pt idx="500">
                  <c:v>0.30899163778007677</c:v>
                </c:pt>
                <c:pt idx="501">
                  <c:v>0.24869438923699314</c:v>
                </c:pt>
                <c:pt idx="502">
                  <c:v>0.23652280802306844</c:v>
                </c:pt>
                <c:pt idx="503">
                  <c:v>0.22151295311285826</c:v>
                </c:pt>
                <c:pt idx="504">
                  <c:v>0.20383494276529546</c:v>
                </c:pt>
                <c:pt idx="505">
                  <c:v>0.18372091310455188</c:v>
                </c:pt>
                <c:pt idx="506">
                  <c:v>0.16139223248655349</c:v>
                </c:pt>
                <c:pt idx="507">
                  <c:v>0.1371368450787144</c:v>
                </c:pt>
                <c:pt idx="508">
                  <c:v>4.5745815529932891E-2</c:v>
                </c:pt>
                <c:pt idx="509">
                  <c:v>-4.6184163805208442E-2</c:v>
                </c:pt>
                <c:pt idx="510">
                  <c:v>-0.13756993317468827</c:v>
                </c:pt>
                <c:pt idx="511">
                  <c:v>-0.2273048633460702</c:v>
                </c:pt>
                <c:pt idx="512">
                  <c:v>-0.3143121351573</c:v>
                </c:pt>
                <c:pt idx="513">
                  <c:v>-0.33948766134664615</c:v>
                </c:pt>
                <c:pt idx="514">
                  <c:v>-0.36059933559983398</c:v>
                </c:pt>
                <c:pt idx="515">
                  <c:v>-0.42462381782581299</c:v>
                </c:pt>
                <c:pt idx="516">
                  <c:v>-0.48355281423789576</c:v>
                </c:pt>
                <c:pt idx="517">
                  <c:v>-0.53667917687911204</c:v>
                </c:pt>
                <c:pt idx="518">
                  <c:v>-0.58336538939779059</c:v>
                </c:pt>
                <c:pt idx="519">
                  <c:v>-0.53895121724368411</c:v>
                </c:pt>
                <c:pt idx="520">
                  <c:v>-0.48807963048264935</c:v>
                </c:pt>
                <c:pt idx="521">
                  <c:v>-0.43134108815584371</c:v>
                </c:pt>
                <c:pt idx="522">
                  <c:v>-0.44969645277115333</c:v>
                </c:pt>
                <c:pt idx="523">
                  <c:v>-0.46266545995320235</c:v>
                </c:pt>
                <c:pt idx="524">
                  <c:v>-0.4700724816158281</c:v>
                </c:pt>
                <c:pt idx="525">
                  <c:v>-0.47184863349905481</c:v>
                </c:pt>
                <c:pt idx="526">
                  <c:v>-0.44428260178029727</c:v>
                </c:pt>
                <c:pt idx="527">
                  <c:v>-0.41138517884017378</c:v>
                </c:pt>
                <c:pt idx="528">
                  <c:v>-0.37355113375397375</c:v>
                </c:pt>
                <c:pt idx="529">
                  <c:v>-0.34873447506271554</c:v>
                </c:pt>
                <c:pt idx="530">
                  <c:v>-0.31973300267071214</c:v>
                </c:pt>
                <c:pt idx="531">
                  <c:v>-0.28689473424665718</c:v>
                </c:pt>
                <c:pt idx="532">
                  <c:v>-0.25061372901164208</c:v>
                </c:pt>
                <c:pt idx="533">
                  <c:v>-0.16059535902848968</c:v>
                </c:pt>
                <c:pt idx="534">
                  <c:v>-6.8649844736994536E-2</c:v>
                </c:pt>
                <c:pt idx="535">
                  <c:v>2.4119467691344598E-2</c:v>
                </c:pt>
                <c:pt idx="536">
                  <c:v>6.2309346507388293E-2</c:v>
                </c:pt>
                <c:pt idx="537">
                  <c:v>9.9761513165344706E-2</c:v>
                </c:pt>
                <c:pt idx="538">
                  <c:v>0.1360065416653117</c:v>
                </c:pt>
                <c:pt idx="539">
                  <c:v>0.21965949166530185</c:v>
                </c:pt>
                <c:pt idx="540">
                  <c:v>0.30068652776529725</c:v>
                </c:pt>
                <c:pt idx="541">
                  <c:v>0.37809532553212222</c:v>
                </c:pt>
                <c:pt idx="542">
                  <c:v>0.45097697939255449</c:v>
                </c:pt>
                <c:pt idx="543">
                  <c:v>0.45514690950027198</c:v>
                </c:pt>
                <c:pt idx="544">
                  <c:v>0.45385507669399788</c:v>
                </c:pt>
                <c:pt idx="545">
                  <c:v>0.44711698296738367</c:v>
                </c:pt>
                <c:pt idx="546">
                  <c:v>0.43502348544517849</c:v>
                </c:pt>
                <c:pt idx="547">
                  <c:v>0.47537970609762104</c:v>
                </c:pt>
                <c:pt idx="548">
                  <c:v>0.51003137027688661</c:v>
                </c:pt>
                <c:pt idx="549">
                  <c:v>0.53856265801283454</c:v>
                </c:pt>
                <c:pt idx="550">
                  <c:v>0.56063119385262383</c:v>
                </c:pt>
                <c:pt idx="551">
                  <c:v>0.52299215536617638</c:v>
                </c:pt>
                <c:pt idx="552">
                  <c:v>0.47907721101535061</c:v>
                </c:pt>
                <c:pt idx="553">
                  <c:v>0.42940334013233727</c:v>
                </c:pt>
                <c:pt idx="554">
                  <c:v>0.37458662916773316</c:v>
                </c:pt>
                <c:pt idx="555">
                  <c:v>0.35484487865311204</c:v>
                </c:pt>
                <c:pt idx="556">
                  <c:v>0.33084498959465386</c:v>
                </c:pt>
                <c:pt idx="557">
                  <c:v>0.30287496066106961</c:v>
                </c:pt>
                <c:pt idx="558">
                  <c:v>0.27126043219953805</c:v>
                </c:pt>
                <c:pt idx="559">
                  <c:v>0.23640077855161454</c:v>
                </c:pt>
                <c:pt idx="560">
                  <c:v>0.15614431556108505</c:v>
                </c:pt>
                <c:pt idx="561">
                  <c:v>7.4004120783816879E-2</c:v>
                </c:pt>
                <c:pt idx="562">
                  <c:v>-9.0241234428599382E-3</c:v>
                </c:pt>
                <c:pt idx="563">
                  <c:v>-3.880407818822261E-2</c:v>
                </c:pt>
                <c:pt idx="564">
                  <c:v>-6.8128383995326613E-2</c:v>
                </c:pt>
                <c:pt idx="565">
                  <c:v>-9.6625149194486767E-2</c:v>
                </c:pt>
                <c:pt idx="566">
                  <c:v>-0.12396241260331395</c:v>
                </c:pt>
                <c:pt idx="567">
                  <c:v>-0.14982212706090126</c:v>
                </c:pt>
                <c:pt idx="568">
                  <c:v>-0.17387397599375515</c:v>
                </c:pt>
                <c:pt idx="569">
                  <c:v>-0.19584933721468206</c:v>
                </c:pt>
                <c:pt idx="570">
                  <c:v>-0.21546450638903253</c:v>
                </c:pt>
                <c:pt idx="571">
                  <c:v>-0.23249410148671895</c:v>
                </c:pt>
                <c:pt idx="572">
                  <c:v>-0.24674376736656764</c:v>
                </c:pt>
                <c:pt idx="573">
                  <c:v>-0.25802250803801452</c:v>
                </c:pt>
                <c:pt idx="574">
                  <c:v>-0.2842349786130044</c:v>
                </c:pt>
                <c:pt idx="575">
                  <c:v>-0.30702662944464154</c:v>
                </c:pt>
                <c:pt idx="576">
                  <c:v>-0.32614396072294138</c:v>
                </c:pt>
                <c:pt idx="577">
                  <c:v>-0.34134756447256293</c:v>
                </c:pt>
                <c:pt idx="578">
                  <c:v>-0.31563499744850609</c:v>
                </c:pt>
                <c:pt idx="579">
                  <c:v>-0.28614481045508705</c:v>
                </c:pt>
                <c:pt idx="580">
                  <c:v>-0.34119088573619782</c:v>
                </c:pt>
                <c:pt idx="581">
                  <c:v>-0.39214267038845119</c:v>
                </c:pt>
                <c:pt idx="582">
                  <c:v>-0.43838874299606706</c:v>
                </c:pt>
                <c:pt idx="583">
                  <c:v>-0.47937415068773254</c:v>
                </c:pt>
                <c:pt idx="584">
                  <c:v>-0.51460706857113769</c:v>
                </c:pt>
                <c:pt idx="585">
                  <c:v>-0.54366470163170688</c:v>
                </c:pt>
                <c:pt idx="586">
                  <c:v>-0.51156835827267755</c:v>
                </c:pt>
                <c:pt idx="587">
                  <c:v>-0.47334319461436908</c:v>
                </c:pt>
                <c:pt idx="588">
                  <c:v>-0.42943791262070335</c:v>
                </c:pt>
                <c:pt idx="589">
                  <c:v>-0.41206937567557672</c:v>
                </c:pt>
                <c:pt idx="590">
                  <c:v>-0.38976600622235569</c:v>
                </c:pt>
                <c:pt idx="591">
                  <c:v>-0.36277544469446232</c:v>
                </c:pt>
                <c:pt idx="592">
                  <c:v>-0.29085157783023496</c:v>
                </c:pt>
                <c:pt idx="593">
                  <c:v>-0.21543749203204202</c:v>
                </c:pt>
                <c:pt idx="594">
                  <c:v>-0.1374381563294666</c:v>
                </c:pt>
                <c:pt idx="595">
                  <c:v>-5.7789562750937357E-2</c:v>
                </c:pt>
                <c:pt idx="596">
                  <c:v>1.8325055806014783E-3</c:v>
                </c:pt>
                <c:pt idx="597">
                  <c:v>6.1432583845174617E-2</c:v>
                </c:pt>
                <c:pt idx="598">
                  <c:v>0.12029547110360694</c:v>
                </c:pt>
                <c:pt idx="599">
                  <c:v>0.21113481270879605</c:v>
                </c:pt>
                <c:pt idx="600">
                  <c:v>0.29945053656148068</c:v>
                </c:pt>
                <c:pt idx="601">
                  <c:v>0.38416285397542288</c:v>
                </c:pt>
                <c:pt idx="602">
                  <c:v>0.46427521714165715</c:v>
                </c:pt>
                <c:pt idx="603">
                  <c:v>0.54214627770219836</c:v>
                </c:pt>
                <c:pt idx="604">
                  <c:v>0.56774158293032218</c:v>
                </c:pt>
                <c:pt idx="605">
                  <c:v>0.58651398916326891</c:v>
                </c:pt>
                <c:pt idx="606">
                  <c:v>0.59825822752623303</c:v>
                </c:pt>
                <c:pt idx="607">
                  <c:v>0.62523336715893107</c:v>
                </c:pt>
                <c:pt idx="608">
                  <c:v>0.64470570638569014</c:v>
                </c:pt>
                <c:pt idx="609">
                  <c:v>0.68205157713583509</c:v>
                </c:pt>
                <c:pt idx="610">
                  <c:v>0.65014282896034248</c:v>
                </c:pt>
                <c:pt idx="611">
                  <c:v>0.61043236683732716</c:v>
                </c:pt>
                <c:pt idx="612">
                  <c:v>0.63201671631226031</c:v>
                </c:pt>
                <c:pt idx="613">
                  <c:v>0.5915368651914551</c:v>
                </c:pt>
                <c:pt idx="614">
                  <c:v>0.54394857168835187</c:v>
                </c:pt>
                <c:pt idx="615">
                  <c:v>0.5132028953249963</c:v>
                </c:pt>
                <c:pt idx="616">
                  <c:v>0.45109878421771726</c:v>
                </c:pt>
                <c:pt idx="617">
                  <c:v>0.38357148769984323</c:v>
                </c:pt>
                <c:pt idx="618">
                  <c:v>0.31145133332955571</c:v>
                </c:pt>
                <c:pt idx="619">
                  <c:v>0.23559376295933468</c:v>
                </c:pt>
                <c:pt idx="620">
                  <c:v>0.18322906743358436</c:v>
                </c:pt>
                <c:pt idx="621">
                  <c:v>0.1286656230986376</c:v>
                </c:pt>
                <c:pt idx="622">
                  <c:v>7.2558191286504509E-2</c:v>
                </c:pt>
                <c:pt idx="623">
                  <c:v>-8.8799388210636897E-3</c:v>
                </c:pt>
                <c:pt idx="624">
                  <c:v>-9.0211509662782227E-2</c:v>
                </c:pt>
                <c:pt idx="625">
                  <c:v>-0.17046054238854239</c:v>
                </c:pt>
                <c:pt idx="626">
                  <c:v>-0.24866404860564034</c:v>
                </c:pt>
                <c:pt idx="627">
                  <c:v>-0.28878358623948219</c:v>
                </c:pt>
                <c:pt idx="628">
                  <c:v>-0.32543772083843803</c:v>
                </c:pt>
                <c:pt idx="629">
                  <c:v>-0.35818660278733122</c:v>
                </c:pt>
                <c:pt idx="630">
                  <c:v>-0.38663724550278694</c:v>
                </c:pt>
                <c:pt idx="631">
                  <c:v>-0.44069824127220336</c:v>
                </c:pt>
                <c:pt idx="632">
                  <c:v>-0.48948085814636694</c:v>
                </c:pt>
                <c:pt idx="633">
                  <c:v>-0.53237970472274843</c:v>
                </c:pt>
                <c:pt idx="634">
                  <c:v>-0.56889999484245435</c:v>
                </c:pt>
                <c:pt idx="635">
                  <c:v>-0.57777348502407666</c:v>
                </c:pt>
                <c:pt idx="636">
                  <c:v>-0.57972369338539664</c:v>
                </c:pt>
                <c:pt idx="637">
                  <c:v>-0.57471721742610027</c:v>
                </c:pt>
                <c:pt idx="638">
                  <c:v>-0.56630413485768416</c:v>
                </c:pt>
                <c:pt idx="639">
                  <c:v>-0.55109540267096913</c:v>
                </c:pt>
                <c:pt idx="640">
                  <c:v>-0.52928352565221637</c:v>
                </c:pt>
                <c:pt idx="641">
                  <c:v>-0.50111024632560996</c:v>
                </c:pt>
                <c:pt idx="642">
                  <c:v>-0.46692364404314102</c:v>
                </c:pt>
                <c:pt idx="643">
                  <c:v>-0.46883395803213285</c:v>
                </c:pt>
                <c:pt idx="644">
                  <c:v>-0.46512826452472283</c:v>
                </c:pt>
                <c:pt idx="645">
                  <c:v>-0.45583103184302759</c:v>
                </c:pt>
                <c:pt idx="646">
                  <c:v>-0.4410638267792269</c:v>
                </c:pt>
                <c:pt idx="647">
                  <c:v>-0.39746385579406301</c:v>
                </c:pt>
                <c:pt idx="648">
                  <c:v>-0.34908431853937755</c:v>
                </c:pt>
                <c:pt idx="649">
                  <c:v>-0.26624576946220879</c:v>
                </c:pt>
                <c:pt idx="650">
                  <c:v>-0.18021227115149938</c:v>
                </c:pt>
                <c:pt idx="651">
                  <c:v>-9.2026225586973945E-2</c:v>
                </c:pt>
                <c:pt idx="652">
                  <c:v>-2.72586531540513E-3</c:v>
                </c:pt>
                <c:pt idx="653">
                  <c:v>8.660720533994952E-2</c:v>
                </c:pt>
                <c:pt idx="654">
                  <c:v>9.8560989531225329E-2</c:v>
                </c:pt>
                <c:pt idx="655">
                  <c:v>0.10932204184812676</c:v>
                </c:pt>
                <c:pt idx="656">
                  <c:v>0.21098122966284499</c:v>
                </c:pt>
                <c:pt idx="657">
                  <c:v>0.31010864272161803</c:v>
                </c:pt>
                <c:pt idx="658">
                  <c:v>0.40552475206772925</c:v>
                </c:pt>
                <c:pt idx="659">
                  <c:v>0.41661456438901995</c:v>
                </c:pt>
                <c:pt idx="660">
                  <c:v>0.42269500193765908</c:v>
                </c:pt>
                <c:pt idx="661">
                  <c:v>0.42371309946304114</c:v>
                </c:pt>
                <c:pt idx="662">
                  <c:v>0.41964663979485345</c:v>
                </c:pt>
                <c:pt idx="663">
                  <c:v>0.49550442044914328</c:v>
                </c:pt>
                <c:pt idx="664">
                  <c:v>0.56541614805801987</c:v>
                </c:pt>
                <c:pt idx="665">
                  <c:v>0.62855288189021807</c:v>
                </c:pt>
                <c:pt idx="666">
                  <c:v>0.61651698113973985</c:v>
                </c:pt>
                <c:pt idx="667">
                  <c:v>0.59709287661557564</c:v>
                </c:pt>
                <c:pt idx="668">
                  <c:v>0.5974336575720155</c:v>
                </c:pt>
                <c:pt idx="669">
                  <c:v>0.59060523463760717</c:v>
                </c:pt>
                <c:pt idx="670">
                  <c:v>0.58944954888754875</c:v>
                </c:pt>
                <c:pt idx="671">
                  <c:v>0.58122046855082177</c:v>
                </c:pt>
                <c:pt idx="672">
                  <c:v>0.55172674259149412</c:v>
                </c:pt>
                <c:pt idx="673">
                  <c:v>0.54043229572108864</c:v>
                </c:pt>
                <c:pt idx="674">
                  <c:v>0.52265266130199595</c:v>
                </c:pt>
                <c:pt idx="675">
                  <c:v>0.4986011949472931</c:v>
                </c:pt>
                <c:pt idx="676">
                  <c:v>0.46856651425322604</c:v>
                </c:pt>
                <c:pt idx="677">
                  <c:v>0.43290903538811992</c:v>
                </c:pt>
                <c:pt idx="678">
                  <c:v>0.32726664809835065</c:v>
                </c:pt>
                <c:pt idx="679">
                  <c:v>0.21770706103141074</c:v>
                </c:pt>
                <c:pt idx="680">
                  <c:v>0.10553498923208525</c:v>
                </c:pt>
                <c:pt idx="681">
                  <c:v>-7.9135024380210008E-3</c:v>
                </c:pt>
                <c:pt idx="682">
                  <c:v>-0.12125703207887085</c:v>
                </c:pt>
                <c:pt idx="683">
                  <c:v>-0.23315547733477593</c:v>
                </c:pt>
                <c:pt idx="684">
                  <c:v>-0.26578605686266088</c:v>
                </c:pt>
                <c:pt idx="685">
                  <c:v>-0.29522720370819994</c:v>
                </c:pt>
                <c:pt idx="686">
                  <c:v>-0.32112562410923323</c:v>
                </c:pt>
                <c:pt idx="687">
                  <c:v>-0.37905053702095692</c:v>
                </c:pt>
                <c:pt idx="688">
                  <c:v>-0.43243684348844186</c:v>
                </c:pt>
                <c:pt idx="689">
                  <c:v>-0.42470390783405815</c:v>
                </c:pt>
                <c:pt idx="690">
                  <c:v>-0.57127452528565537</c:v>
                </c:pt>
                <c:pt idx="691">
                  <c:v>-0.61344984843383554</c:v>
                </c:pt>
                <c:pt idx="692">
                  <c:v>-0.64827377340079262</c:v>
                </c:pt>
                <c:pt idx="693">
                  <c:v>-0.67530841308696854</c:v>
                </c:pt>
                <c:pt idx="694">
                  <c:v>-0.69424935181607716</c:v>
                </c:pt>
                <c:pt idx="695">
                  <c:v>-0.70484929832339593</c:v>
                </c:pt>
                <c:pt idx="696">
                  <c:v>-0.65724105325084237</c:v>
                </c:pt>
                <c:pt idx="697">
                  <c:v>-0.60174591553927015</c:v>
                </c:pt>
                <c:pt idx="698">
                  <c:v>-0.5390298268412308</c:v>
                </c:pt>
                <c:pt idx="699">
                  <c:v>-0.46984538022112016</c:v>
                </c:pt>
                <c:pt idx="700">
                  <c:v>-0.39501278903832265</c:v>
                </c:pt>
                <c:pt idx="701">
                  <c:v>-0.3867000443870654</c:v>
                </c:pt>
                <c:pt idx="702">
                  <c:v>-0.37374689920319398</c:v>
                </c:pt>
                <c:pt idx="703">
                  <c:v>-0.35630879122886067</c:v>
                </c:pt>
                <c:pt idx="704">
                  <c:v>-0.33459497775978858</c:v>
                </c:pt>
                <c:pt idx="705">
                  <c:v>-0.3088660245575926</c:v>
                </c:pt>
                <c:pt idx="706">
                  <c:v>-0.27943067906070629</c:v>
                </c:pt>
                <c:pt idx="707">
                  <c:v>-0.24664216541509529</c:v>
                </c:pt>
                <c:pt idx="708">
                  <c:v>-0.16052394578450224</c:v>
                </c:pt>
                <c:pt idx="709">
                  <c:v>-7.2479438804494881E-2</c:v>
                </c:pt>
                <c:pt idx="710">
                  <c:v>1.642482144116619E-2</c:v>
                </c:pt>
                <c:pt idx="711">
                  <c:v>0.10514198382953173</c:v>
                </c:pt>
                <c:pt idx="712">
                  <c:v>0.13857744241194428</c:v>
                </c:pt>
                <c:pt idx="713">
                  <c:v>0.17033997168541598</c:v>
                </c:pt>
                <c:pt idx="714">
                  <c:v>0.20006842129865771</c:v>
                </c:pt>
                <c:pt idx="715">
                  <c:v>0.27240604985631894</c:v>
                </c:pt>
                <c:pt idx="716">
                  <c:v>0.34148480581570534</c:v>
                </c:pt>
                <c:pt idx="717">
                  <c:v>0.38515574410529807</c:v>
                </c:pt>
                <c:pt idx="718">
                  <c:v>0.4242048134656291</c:v>
                </c:pt>
                <c:pt idx="719">
                  <c:v>0.45816342506438745</c:v>
                </c:pt>
                <c:pt idx="720">
                  <c:v>0.4866340755623616</c:v>
                </c:pt>
                <c:pt idx="721">
                  <c:v>0.49584511715358537</c:v>
                </c:pt>
                <c:pt idx="722">
                  <c:v>0.49910601733895582</c:v>
                </c:pt>
                <c:pt idx="723">
                  <c:v>0.4963776453162892</c:v>
                </c:pt>
                <c:pt idx="724">
                  <c:v>0.55435274154978609</c:v>
                </c:pt>
                <c:pt idx="725">
                  <c:v>0.60566560488470478</c:v>
                </c:pt>
                <c:pt idx="726">
                  <c:v>0.60379048096101917</c:v>
                </c:pt>
                <c:pt idx="727">
                  <c:v>0.5946798712657807</c:v>
                </c:pt>
                <c:pt idx="728">
                  <c:v>0.61612310311536833</c:v>
                </c:pt>
                <c:pt idx="729">
                  <c:v>0.56420285772757617</c:v>
                </c:pt>
                <c:pt idx="730">
                  <c:v>0.50551217804705062</c:v>
                </c:pt>
                <c:pt idx="731">
                  <c:v>0.44075535222993717</c:v>
                </c:pt>
                <c:pt idx="732">
                  <c:v>0.37070946218607964</c:v>
                </c:pt>
                <c:pt idx="733">
                  <c:v>0.2962150585959864</c:v>
                </c:pt>
                <c:pt idx="734">
                  <c:v>0.31168607430275602</c:v>
                </c:pt>
                <c:pt idx="735">
                  <c:v>0.32342685711786923</c:v>
                </c:pt>
                <c:pt idx="736">
                  <c:v>0.23710651764758836</c:v>
                </c:pt>
                <c:pt idx="737">
                  <c:v>0.14793089996552669</c:v>
                </c:pt>
                <c:pt idx="738">
                  <c:v>5.6990111483879995E-2</c:v>
                </c:pt>
                <c:pt idx="739">
                  <c:v>3.3765441664429477E-2</c:v>
                </c:pt>
                <c:pt idx="740">
                  <c:v>1.012558654500369E-2</c:v>
                </c:pt>
                <c:pt idx="741">
                  <c:v>-1.3625775612962927E-2</c:v>
                </c:pt>
                <c:pt idx="742">
                  <c:v>-9.4233628463572833E-2</c:v>
                </c:pt>
                <c:pt idx="743">
                  <c:v>-0.173710677772625</c:v>
                </c:pt>
                <c:pt idx="744">
                  <c:v>-0.25110319894840277</c:v>
                </c:pt>
                <c:pt idx="745">
                  <c:v>-0.32548248173679822</c:v>
                </c:pt>
                <c:pt idx="746">
                  <c:v>-0.39595597474433986</c:v>
                </c:pt>
                <c:pt idx="747">
                  <c:v>-0.46167799605496135</c:v>
                </c:pt>
                <c:pt idx="748">
                  <c:v>-0.52185988141292483</c:v>
                </c:pt>
                <c:pt idx="749">
                  <c:v>-0.54039944819394248</c:v>
                </c:pt>
                <c:pt idx="750">
                  <c:v>-0.55244422159659956</c:v>
                </c:pt>
                <c:pt idx="751">
                  <c:v>-0.55786966434013052</c:v>
                </c:pt>
                <c:pt idx="752">
                  <c:v>-0.59640067111157469</c:v>
                </c:pt>
                <c:pt idx="753">
                  <c:v>-0.62777486982966946</c:v>
                </c:pt>
                <c:pt idx="754">
                  <c:v>-0.65161577010982608</c:v>
                </c:pt>
                <c:pt idx="755">
                  <c:v>-0.66763728114864473</c:v>
                </c:pt>
                <c:pt idx="756">
                  <c:v>-0.62890714481368504</c:v>
                </c:pt>
                <c:pt idx="757">
                  <c:v>-0.58263012274096904</c:v>
                </c:pt>
                <c:pt idx="758">
                  <c:v>-0.52935153919535582</c:v>
                </c:pt>
                <c:pt idx="759">
                  <c:v>-0.51339073717939809</c:v>
                </c:pt>
                <c:pt idx="760">
                  <c:v>-0.49125924631728074</c:v>
                </c:pt>
                <c:pt idx="761">
                  <c:v>-0.41920264449935885</c:v>
                </c:pt>
                <c:pt idx="762">
                  <c:v>-0.34212561094744925</c:v>
                </c:pt>
                <c:pt idx="763">
                  <c:v>-0.26093307006417721</c:v>
                </c:pt>
                <c:pt idx="764">
                  <c:v>-0.2174293323401236</c:v>
                </c:pt>
                <c:pt idx="765">
                  <c:v>-0.17131644262799015</c:v>
                </c:pt>
                <c:pt idx="766">
                  <c:v>-9.215775560432525E-2</c:v>
                </c:pt>
                <c:pt idx="767">
                  <c:v>-1.1903175513406038E-2</c:v>
                </c:pt>
                <c:pt idx="768">
                  <c:v>6.8504242683675928E-2</c:v>
                </c:pt>
                <c:pt idx="769">
                  <c:v>9.9589609968551332E-2</c:v>
                </c:pt>
                <c:pt idx="770">
                  <c:v>0.12947990193380546</c:v>
                </c:pt>
                <c:pt idx="771">
                  <c:v>0.15781643507584978</c:v>
                </c:pt>
                <c:pt idx="772">
                  <c:v>0.18425917099699432</c:v>
                </c:pt>
                <c:pt idx="773">
                  <c:v>0.20849079686616981</c:v>
                </c:pt>
                <c:pt idx="774">
                  <c:v>0.29392053317293765</c:v>
                </c:pt>
                <c:pt idx="775">
                  <c:v>0.37582322308164512</c:v>
                </c:pt>
                <c:pt idx="776">
                  <c:v>0.45321603431337093</c:v>
                </c:pt>
                <c:pt idx="777">
                  <c:v>0.47919025313333458</c:v>
                </c:pt>
                <c:pt idx="778">
                  <c:v>0.49940418891570787</c:v>
                </c:pt>
                <c:pt idx="779">
                  <c:v>0.5136352744310787</c:v>
                </c:pt>
                <c:pt idx="780">
                  <c:v>0.52169273665326854</c:v>
                </c:pt>
                <c:pt idx="781">
                  <c:v>0.52349988603564601</c:v>
                </c:pt>
                <c:pt idx="782">
                  <c:v>0.55261503678556356</c:v>
                </c:pt>
                <c:pt idx="783">
                  <c:v>0.57509880709408034</c:v>
                </c:pt>
                <c:pt idx="784">
                  <c:v>0.59068139171746836</c:v>
                </c:pt>
                <c:pt idx="785">
                  <c:v>0.59917579964022594</c:v>
                </c:pt>
                <c:pt idx="786">
                  <c:v>0.5661200979673302</c:v>
                </c:pt>
                <c:pt idx="787">
                  <c:v>0.52627095511879185</c:v>
                </c:pt>
                <c:pt idx="788">
                  <c:v>0.48010656080886038</c:v>
                </c:pt>
                <c:pt idx="789">
                  <c:v>0.42818088776919866</c:v>
                </c:pt>
                <c:pt idx="790">
                  <c:v>0.40963704407632245</c:v>
                </c:pt>
                <c:pt idx="791">
                  <c:v>0.38617755585452179</c:v>
                </c:pt>
                <c:pt idx="792">
                  <c:v>0.33849393696247332</c:v>
                </c:pt>
                <c:pt idx="793">
                  <c:v>0.3115883908268624</c:v>
                </c:pt>
                <c:pt idx="794">
                  <c:v>0.28095378400134474</c:v>
                </c:pt>
                <c:pt idx="795">
                  <c:v>0.17862773176779978</c:v>
                </c:pt>
                <c:pt idx="796">
                  <c:v>7.414814675304722E-2</c:v>
                </c:pt>
                <c:pt idx="797">
                  <c:v>-3.1211216022743377E-2</c:v>
                </c:pt>
                <c:pt idx="798">
                  <c:v>-0.1361960442062605</c:v>
                </c:pt>
                <c:pt idx="799">
                  <c:v>-0.16520651985930423</c:v>
                </c:pt>
                <c:pt idx="800">
                  <c:v>-0.19224451727403724</c:v>
                </c:pt>
                <c:pt idx="801">
                  <c:v>-0.21696558048147924</c:v>
                </c:pt>
                <c:pt idx="802">
                  <c:v>-0.23909305672315059</c:v>
                </c:pt>
                <c:pt idx="803">
                  <c:v>-0.32686141628413073</c:v>
                </c:pt>
                <c:pt idx="804">
                  <c:v>-0.36887743884971186</c:v>
                </c:pt>
                <c:pt idx="805">
                  <c:v>-0.40646693214910035</c:v>
                </c:pt>
                <c:pt idx="806">
                  <c:v>-0.43917882226267818</c:v>
                </c:pt>
                <c:pt idx="807">
                  <c:v>-0.48386056650912346</c:v>
                </c:pt>
                <c:pt idx="808">
                  <c:v>-0.52274598395744132</c:v>
                </c:pt>
                <c:pt idx="809">
                  <c:v>-0.55534844959828977</c:v>
                </c:pt>
                <c:pt idx="810">
                  <c:v>-0.56807673384395851</c:v>
                </c:pt>
                <c:pt idx="811">
                  <c:v>-0.57398809728349642</c:v>
                </c:pt>
                <c:pt idx="812">
                  <c:v>-0.60566160355561904</c:v>
                </c:pt>
                <c:pt idx="813">
                  <c:v>-0.63006717058508055</c:v>
                </c:pt>
                <c:pt idx="814">
                  <c:v>-0.60900193156752758</c:v>
                </c:pt>
                <c:pt idx="815">
                  <c:v>-0.57606866937115819</c:v>
                </c:pt>
                <c:pt idx="816">
                  <c:v>-0.53622258314233417</c:v>
                </c:pt>
                <c:pt idx="817">
                  <c:v>-0.48994182591581731</c:v>
                </c:pt>
                <c:pt idx="818">
                  <c:v>-0.43778176677828573</c:v>
                </c:pt>
                <c:pt idx="819">
                  <c:v>-0.42165832643944068</c:v>
                </c:pt>
                <c:pt idx="820">
                  <c:v>-0.40048498618330641</c:v>
                </c:pt>
                <c:pt idx="821">
                  <c:v>-0.3456258260929731</c:v>
                </c:pt>
                <c:pt idx="822">
                  <c:v>-0.28662915608954148</c:v>
                </c:pt>
                <c:pt idx="823">
                  <c:v>-0.22418293621301277</c:v>
                </c:pt>
                <c:pt idx="824">
                  <c:v>-0.15266652110193207</c:v>
                </c:pt>
                <c:pt idx="825">
                  <c:v>-7.9318107737637075E-2</c:v>
                </c:pt>
                <c:pt idx="826">
                  <c:v>-6.0278770804835739E-3</c:v>
                </c:pt>
                <c:pt idx="827">
                  <c:v>6.733468810163519E-2</c:v>
                </c:pt>
                <c:pt idx="828">
                  <c:v>0.13989923702653054</c:v>
                </c:pt>
                <c:pt idx="829">
                  <c:v>0.17876499510711008</c:v>
                </c:pt>
                <c:pt idx="830">
                  <c:v>0.28232557324640428</c:v>
                </c:pt>
                <c:pt idx="831">
                  <c:v>0.38250824450673615</c:v>
                </c:pt>
                <c:pt idx="832">
                  <c:v>0.47809081683300531</c:v>
                </c:pt>
                <c:pt idx="833">
                  <c:v>0.50269629935725901</c:v>
                </c:pt>
                <c:pt idx="834">
                  <c:v>0.52126942628924133</c:v>
                </c:pt>
                <c:pt idx="835">
                  <c:v>0.53357732010574088</c:v>
                </c:pt>
                <c:pt idx="836">
                  <c:v>0.53949228608096178</c:v>
                </c:pt>
                <c:pt idx="837">
                  <c:v>0.53893334462324327</c:v>
                </c:pt>
                <c:pt idx="838">
                  <c:v>0.55303720303001735</c:v>
                </c:pt>
                <c:pt idx="839">
                  <c:v>0.56050461500044102</c:v>
                </c:pt>
                <c:pt idx="840">
                  <c:v>0.56123597159085137</c:v>
                </c:pt>
                <c:pt idx="841">
                  <c:v>0.56466249652219713</c:v>
                </c:pt>
                <c:pt idx="842">
                  <c:v>0.57468307149523445</c:v>
                </c:pt>
                <c:pt idx="843">
                  <c:v>0.57780744961035901</c:v>
                </c:pt>
                <c:pt idx="844">
                  <c:v>0.53453813833015051</c:v>
                </c:pt>
                <c:pt idx="845">
                  <c:v>0.48486436938998362</c:v>
                </c:pt>
                <c:pt idx="846">
                  <c:v>0.42937222801713543</c:v>
                </c:pt>
                <c:pt idx="847">
                  <c:v>0.36871761990808943</c:v>
                </c:pt>
                <c:pt idx="848">
                  <c:v>0.30364840036014012</c:v>
                </c:pt>
                <c:pt idx="849">
                  <c:v>0.26683540000786277</c:v>
                </c:pt>
                <c:pt idx="850">
                  <c:v>0.22681037485549477</c:v>
                </c:pt>
                <c:pt idx="851">
                  <c:v>0.18407362520486734</c:v>
                </c:pt>
                <c:pt idx="852">
                  <c:v>0.16493799205177534</c:v>
                </c:pt>
                <c:pt idx="853">
                  <c:v>5.8013102994064432E-2</c:v>
                </c:pt>
                <c:pt idx="854">
                  <c:v>3.0320567004222241E-3</c:v>
                </c:pt>
                <c:pt idx="855">
                  <c:v>-5.1975374273625655E-2</c:v>
                </c:pt>
                <c:pt idx="856">
                  <c:v>-0.10635910075638705</c:v>
                </c:pt>
                <c:pt idx="857">
                  <c:v>-0.17056651803007719</c:v>
                </c:pt>
                <c:pt idx="858">
                  <c:v>-0.2327271370873964</c:v>
                </c:pt>
                <c:pt idx="859">
                  <c:v>-0.29208503049967316</c:v>
                </c:pt>
                <c:pt idx="860">
                  <c:v>-0.34794790354595889</c:v>
                </c:pt>
                <c:pt idx="861">
                  <c:v>-0.38929540174968602</c:v>
                </c:pt>
                <c:pt idx="862">
                  <c:v>-0.4259713551324224</c:v>
                </c:pt>
                <c:pt idx="863">
                  <c:v>-0.45752565225355263</c:v>
                </c:pt>
                <c:pt idx="864">
                  <c:v>-0.48359964154765994</c:v>
                </c:pt>
                <c:pt idx="865">
                  <c:v>-0.50387043514318708</c:v>
                </c:pt>
                <c:pt idx="866">
                  <c:v>-0.49702478351698953</c:v>
                </c:pt>
                <c:pt idx="867">
                  <c:v>-0.48422483448861892</c:v>
                </c:pt>
                <c:pt idx="868">
                  <c:v>-0.4656041874463463</c:v>
                </c:pt>
                <c:pt idx="869">
                  <c:v>-0.44140629015472321</c:v>
                </c:pt>
                <c:pt idx="870">
                  <c:v>-0.41190151738126379</c:v>
                </c:pt>
                <c:pt idx="871">
                  <c:v>-0.42144392639922346</c:v>
                </c:pt>
                <c:pt idx="872">
                  <c:v>-0.42591900830037976</c:v>
                </c:pt>
                <c:pt idx="873">
                  <c:v>-0.42529306210194701</c:v>
                </c:pt>
                <c:pt idx="874">
                  <c:v>-0.41955359915827811</c:v>
                </c:pt>
                <c:pt idx="875">
                  <c:v>-0.40878949302471534</c:v>
                </c:pt>
                <c:pt idx="876">
                  <c:v>-0.3931099129748537</c:v>
                </c:pt>
                <c:pt idx="877">
                  <c:v>-0.34943301396929932</c:v>
                </c:pt>
                <c:pt idx="878">
                  <c:v>-0.30156291879610692</c:v>
                </c:pt>
                <c:pt idx="879">
                  <c:v>-0.25007406859736941</c:v>
                </c:pt>
                <c:pt idx="880">
                  <c:v>-0.19558432957545932</c:v>
                </c:pt>
                <c:pt idx="881">
                  <c:v>-0.13874757859863932</c:v>
                </c:pt>
                <c:pt idx="882">
                  <c:v>-8.2405856678638853E-2</c:v>
                </c:pt>
                <c:pt idx="883">
                  <c:v>-2.4395264478495011E-2</c:v>
                </c:pt>
                <c:pt idx="884">
                  <c:v>3.3898070895389903E-2</c:v>
                </c:pt>
                <c:pt idx="885">
                  <c:v>9.1794629418530393E-2</c:v>
                </c:pt>
                <c:pt idx="886">
                  <c:v>0.13317965238864635</c:v>
                </c:pt>
                <c:pt idx="887">
                  <c:v>0.17296651953010217</c:v>
                </c:pt>
                <c:pt idx="888">
                  <c:v>0.21067778843719598</c:v>
                </c:pt>
                <c:pt idx="889">
                  <c:v>0.26889092388304031</c:v>
                </c:pt>
                <c:pt idx="890">
                  <c:v>0.323867368242298</c:v>
                </c:pt>
                <c:pt idx="891">
                  <c:v>0.37496740418263735</c:v>
                </c:pt>
                <c:pt idx="892">
                  <c:v>0.3994178312727954</c:v>
                </c:pt>
                <c:pt idx="893">
                  <c:v>0.41906524438767562</c:v>
                </c:pt>
                <c:pt idx="894">
                  <c:v>0.433693874569898</c:v>
                </c:pt>
                <c:pt idx="895">
                  <c:v>0.44310817825728671</c:v>
                </c:pt>
                <c:pt idx="896">
                  <c:v>0.47446518380559427</c:v>
                </c:pt>
                <c:pt idx="897">
                  <c:v>0.50012860714821783</c:v>
                </c:pt>
                <c:pt idx="898">
                  <c:v>0.51979048720507404</c:v>
                </c:pt>
                <c:pt idx="899">
                  <c:v>0.49640488141546379</c:v>
                </c:pt>
                <c:pt idx="900">
                  <c:v>0.46707241704887004</c:v>
                </c:pt>
                <c:pt idx="901">
                  <c:v>0.43213508367768733</c:v>
                </c:pt>
                <c:pt idx="902">
                  <c:v>0.42476212930237733</c:v>
                </c:pt>
                <c:pt idx="903">
                  <c:v>0.41229202937543769</c:v>
                </c:pt>
                <c:pt idx="904">
                  <c:v>0.39487442509600085</c:v>
                </c:pt>
                <c:pt idx="905">
                  <c:v>0.36298832771539807</c:v>
                </c:pt>
                <c:pt idx="906">
                  <c:v>0.32673637040222209</c:v>
                </c:pt>
                <c:pt idx="907">
                  <c:v>0.28656357664420384</c:v>
                </c:pt>
                <c:pt idx="908">
                  <c:v>0.2429620199664688</c:v>
                </c:pt>
                <c:pt idx="909">
                  <c:v>0.19643491904913463</c:v>
                </c:pt>
                <c:pt idx="910">
                  <c:v>0.1475605991032051</c:v>
                </c:pt>
                <c:pt idx="911">
                  <c:v>9.6905551968041362E-2</c:v>
                </c:pt>
                <c:pt idx="912">
                  <c:v>4.509763820926356E-2</c:v>
                </c:pt>
                <c:pt idx="913">
                  <c:v>-5.9914472080283172E-3</c:v>
                </c:pt>
                <c:pt idx="914">
                  <c:v>-5.7008635258825026E-2</c:v>
                </c:pt>
                <c:pt idx="915">
                  <c:v>-0.10734171968651432</c:v>
                </c:pt>
                <c:pt idx="916">
                  <c:v>-0.1563767034779657</c:v>
                </c:pt>
                <c:pt idx="917">
                  <c:v>-0.20354516682768389</c:v>
                </c:pt>
                <c:pt idx="918">
                  <c:v>-0.24827108817546822</c:v>
                </c:pt>
                <c:pt idx="919">
                  <c:v>-0.28671775646514108</c:v>
                </c:pt>
                <c:pt idx="920">
                  <c:v>-0.32172381167723701</c:v>
                </c:pt>
                <c:pt idx="921">
                  <c:v>-0.37300918114921422</c:v>
                </c:pt>
                <c:pt idx="922">
                  <c:v>-0.41981844044737709</c:v>
                </c:pt>
                <c:pt idx="923">
                  <c:v>-0.46158987846019528</c:v>
                </c:pt>
                <c:pt idx="924">
                  <c:v>-0.49782223793148023</c:v>
                </c:pt>
                <c:pt idx="925">
                  <c:v>-0.52809073054760169</c:v>
                </c:pt>
                <c:pt idx="926">
                  <c:v>-0.52823213439714267</c:v>
                </c:pt>
                <c:pt idx="927">
                  <c:v>-0.52203475263390942</c:v>
                </c:pt>
                <c:pt idx="928">
                  <c:v>-0.50956295383908745</c:v>
                </c:pt>
                <c:pt idx="929">
                  <c:v>-0.52843639959817246</c:v>
                </c:pt>
                <c:pt idx="930">
                  <c:v>-0.54096860856210971</c:v>
                </c:pt>
                <c:pt idx="931">
                  <c:v>-0.54700919422326444</c:v>
                </c:pt>
                <c:pt idx="932">
                  <c:v>-0.50063566955376237</c:v>
                </c:pt>
                <c:pt idx="933">
                  <c:v>-0.44825451684960771</c:v>
                </c:pt>
                <c:pt idx="934">
                  <c:v>-0.39048430994326461</c:v>
                </c:pt>
                <c:pt idx="935">
                  <c:v>-0.32803829131760293</c:v>
                </c:pt>
                <c:pt idx="936">
                  <c:v>-0.26165581319612541</c:v>
                </c:pt>
                <c:pt idx="937">
                  <c:v>-0.19213346531629907</c:v>
                </c:pt>
                <c:pt idx="938">
                  <c:v>-0.15384551585267275</c:v>
                </c:pt>
                <c:pt idx="939">
                  <c:v>-0.11372142019881692</c:v>
                </c:pt>
                <c:pt idx="940">
                  <c:v>-7.2222667502573321E-2</c:v>
                </c:pt>
                <c:pt idx="941">
                  <c:v>-2.9857242796300313E-2</c:v>
                </c:pt>
                <c:pt idx="942">
                  <c:v>1.313646882352879E-2</c:v>
                </c:pt>
                <c:pt idx="943">
                  <c:v>5.5982542817476721E-2</c:v>
                </c:pt>
                <c:pt idx="944">
                  <c:v>9.8156826297615685E-2</c:v>
                </c:pt>
                <c:pt idx="945">
                  <c:v>0.17659322786217624</c:v>
                </c:pt>
                <c:pt idx="946">
                  <c:v>0.2529205106924009</c:v>
                </c:pt>
                <c:pt idx="947">
                  <c:v>0.32620274739430988</c:v>
                </c:pt>
                <c:pt idx="948">
                  <c:v>0.37323055112749126</c:v>
                </c:pt>
                <c:pt idx="949">
                  <c:v>0.41577958824714173</c:v>
                </c:pt>
                <c:pt idx="950">
                  <c:v>0.45333927030781829</c:v>
                </c:pt>
                <c:pt idx="951">
                  <c:v>0.51106888112480675</c:v>
                </c:pt>
                <c:pt idx="952">
                  <c:v>0.52109566536831176</c:v>
                </c:pt>
                <c:pt idx="953">
                  <c:v>0.52486930162737655</c:v>
                </c:pt>
                <c:pt idx="954">
                  <c:v>0.52234450626692175</c:v>
                </c:pt>
                <c:pt idx="955">
                  <c:v>0.51355157683125563</c:v>
                </c:pt>
                <c:pt idx="956">
                  <c:v>0.49859602847361628</c:v>
                </c:pt>
                <c:pt idx="957">
                  <c:v>0.4958573277743204</c:v>
                </c:pt>
                <c:pt idx="958">
                  <c:v>0.48716833914170216</c:v>
                </c:pt>
                <c:pt idx="959">
                  <c:v>0.46869333043939376</c:v>
                </c:pt>
                <c:pt idx="960">
                  <c:v>0.44459400177180186</c:v>
                </c:pt>
                <c:pt idx="961">
                  <c:v>0.41515954508295966</c:v>
                </c:pt>
                <c:pt idx="962">
                  <c:v>0.40897317385312282</c:v>
                </c:pt>
                <c:pt idx="963">
                  <c:v>0.39787912453704499</c:v>
                </c:pt>
                <c:pt idx="964">
                  <c:v>0.38201052572652255</c:v>
                </c:pt>
                <c:pt idx="965">
                  <c:v>0.32188780060727867</c:v>
                </c:pt>
                <c:pt idx="966">
                  <c:v>0.25791242188076069</c:v>
                </c:pt>
                <c:pt idx="967">
                  <c:v>0.19083209409165822</c:v>
                </c:pt>
                <c:pt idx="968">
                  <c:v>0.12146178117346272</c:v>
                </c:pt>
                <c:pt idx="969">
                  <c:v>5.0643926881184735E-2</c:v>
                </c:pt>
                <c:pt idx="970">
                  <c:v>-2.0791654533667644E-2</c:v>
                </c:pt>
                <c:pt idx="971">
                  <c:v>-9.1967736094116084E-2</c:v>
                </c:pt>
                <c:pt idx="972">
                  <c:v>-0.12381020482143652</c:v>
                </c:pt>
                <c:pt idx="973">
                  <c:v>-0.15416695109089512</c:v>
                </c:pt>
                <c:pt idx="974">
                  <c:v>-0.18267369394726807</c:v>
                </c:pt>
                <c:pt idx="975">
                  <c:v>-0.20898835247627667</c:v>
                </c:pt>
                <c:pt idx="976">
                  <c:v>-0.27353515077555618</c:v>
                </c:pt>
                <c:pt idx="977">
                  <c:v>-0.33479952726553786</c:v>
                </c:pt>
                <c:pt idx="978">
                  <c:v>-0.39205630942833625</c:v>
                </c:pt>
                <c:pt idx="979">
                  <c:v>-0.44459841587798743</c:v>
                </c:pt>
                <c:pt idx="980">
                  <c:v>-0.49180534133711445</c:v>
                </c:pt>
                <c:pt idx="981">
                  <c:v>-0.53311060270019339</c:v>
                </c:pt>
                <c:pt idx="982">
                  <c:v>-0.56802853683085053</c:v>
                </c:pt>
                <c:pt idx="983">
                  <c:v>-0.58374012851955537</c:v>
                </c:pt>
                <c:pt idx="984">
                  <c:v>-0.59245683866602539</c:v>
                </c:pt>
                <c:pt idx="985">
                  <c:v>-0.59402406674850106</c:v>
                </c:pt>
                <c:pt idx="986">
                  <c:v>-0.58847300602999841</c:v>
                </c:pt>
                <c:pt idx="987">
                  <c:v>-0.57585026923912508</c:v>
                </c:pt>
                <c:pt idx="988">
                  <c:v>-0.5491573292173979</c:v>
                </c:pt>
                <c:pt idx="989">
                  <c:v>-0.51587450124504586</c:v>
                </c:pt>
                <c:pt idx="990">
                  <c:v>-0.46901117925776148</c:v>
                </c:pt>
                <c:pt idx="991">
                  <c:v>-0.41650972311937839</c:v>
                </c:pt>
                <c:pt idx="992">
                  <c:v>-0.35902015030356282</c:v>
                </c:pt>
                <c:pt idx="993">
                  <c:v>-0.29721233568411487</c:v>
                </c:pt>
                <c:pt idx="994">
                  <c:v>-0.25010797303644333</c:v>
                </c:pt>
                <c:pt idx="995">
                  <c:v>-0.20000231471234592</c:v>
                </c:pt>
                <c:pt idx="996">
                  <c:v>-0.14749662861169915</c:v>
                </c:pt>
                <c:pt idx="997">
                  <c:v>-9.322098296770466E-2</c:v>
                </c:pt>
                <c:pt idx="998">
                  <c:v>-1.1996685528102395E-2</c:v>
                </c:pt>
                <c:pt idx="999">
                  <c:v>6.9381572137837189E-2</c:v>
                </c:pt>
                <c:pt idx="1000">
                  <c:v>0.14992725093812162</c:v>
                </c:pt>
                <c:pt idx="1001">
                  <c:v>0.22866380272715084</c:v>
                </c:pt>
                <c:pt idx="1002">
                  <c:v>0.30466638888345265</c:v>
                </c:pt>
                <c:pt idx="1003">
                  <c:v>0.34676297837315551</c:v>
                </c:pt>
                <c:pt idx="1004">
                  <c:v>0.38468841212236854</c:v>
                </c:pt>
                <c:pt idx="1005">
                  <c:v>0.41800758492613593</c:v>
                </c:pt>
                <c:pt idx="1006">
                  <c:v>0.44631066671077779</c:v>
                </c:pt>
                <c:pt idx="1007">
                  <c:v>0.46740802049488428</c:v>
                </c:pt>
                <c:pt idx="1008">
                  <c:v>0.48290647803306097</c:v>
                </c:pt>
                <c:pt idx="1009">
                  <c:v>0.49261005783482292</c:v>
                </c:pt>
                <c:pt idx="1010">
                  <c:v>0.49639231694259023</c:v>
                </c:pt>
                <c:pt idx="1011">
                  <c:v>0.49422786824703835</c:v>
                </c:pt>
                <c:pt idx="1012">
                  <c:v>0.48612268513251522</c:v>
                </c:pt>
                <c:pt idx="1013">
                  <c:v>0.4721940297964296</c:v>
                </c:pt>
                <c:pt idx="1014">
                  <c:v>0.48459904610275401</c:v>
                </c:pt>
                <c:pt idx="1015">
                  <c:v>0.49118887385585053</c:v>
                </c:pt>
                <c:pt idx="1016">
                  <c:v>0.49188443512267632</c:v>
                </c:pt>
                <c:pt idx="1017">
                  <c:v>0.4866673831680412</c:v>
                </c:pt>
                <c:pt idx="1018">
                  <c:v>0.4756203226153905</c:v>
                </c:pt>
                <c:pt idx="1019">
                  <c:v>0.45886581819135158</c:v>
                </c:pt>
                <c:pt idx="1020">
                  <c:v>0.39779492394901095</c:v>
                </c:pt>
                <c:pt idx="1021">
                  <c:v>0.33195049061928317</c:v>
                </c:pt>
                <c:pt idx="1022">
                  <c:v>0.26212265140212587</c:v>
                </c:pt>
                <c:pt idx="1023">
                  <c:v>0.18914934036814554</c:v>
                </c:pt>
                <c:pt idx="1024">
                  <c:v>0.11389623724974333</c:v>
                </c:pt>
                <c:pt idx="1025">
                  <c:v>3.7286379284349733E-2</c:v>
                </c:pt>
                <c:pt idx="1026">
                  <c:v>2.7390847675396422E-3</c:v>
                </c:pt>
                <c:pt idx="1027">
                  <c:v>-3.1841078766479784E-2</c:v>
                </c:pt>
                <c:pt idx="1028">
                  <c:v>-6.6039149355303237E-2</c:v>
                </c:pt>
                <c:pt idx="1029">
                  <c:v>-9.9444750151860509E-2</c:v>
                </c:pt>
                <c:pt idx="1030">
                  <c:v>-0.13165701394660112</c:v>
                </c:pt>
                <c:pt idx="1031">
                  <c:v>-0.20409939357396867</c:v>
                </c:pt>
                <c:pt idx="1032">
                  <c:v>-0.27409258047846052</c:v>
                </c:pt>
                <c:pt idx="1033">
                  <c:v>-0.34079665641721224</c:v>
                </c:pt>
                <c:pt idx="1034">
                  <c:v>-0.40341117247894281</c:v>
                </c:pt>
                <c:pt idx="1035">
                  <c:v>-0.46117475447094919</c:v>
                </c:pt>
                <c:pt idx="1036">
                  <c:v>-0.51341423940928255</c:v>
                </c:pt>
                <c:pt idx="1037">
                  <c:v>-0.55949275347472704</c:v>
                </c:pt>
                <c:pt idx="1038">
                  <c:v>-0.59885735449845956</c:v>
                </c:pt>
                <c:pt idx="1039">
                  <c:v>-0.63103566726820104</c:v>
                </c:pt>
                <c:pt idx="1040">
                  <c:v>-0.60273155203073925</c:v>
                </c:pt>
                <c:pt idx="1041">
                  <c:v>-0.56719465816891346</c:v>
                </c:pt>
                <c:pt idx="1042">
                  <c:v>-0.5248514284090372</c:v>
                </c:pt>
                <c:pt idx="1043">
                  <c:v>-0.47619998150827225</c:v>
                </c:pt>
                <c:pt idx="1044">
                  <c:v>-0.42184413482938654</c:v>
                </c:pt>
                <c:pt idx="1045">
                  <c:v>-0.40957615853258467</c:v>
                </c:pt>
                <c:pt idx="1046">
                  <c:v>-0.39239326833336807</c:v>
                </c:pt>
                <c:pt idx="1047">
                  <c:v>-0.37050165891415032</c:v>
                </c:pt>
                <c:pt idx="1048">
                  <c:v>-0.33338402958797347</c:v>
                </c:pt>
                <c:pt idx="1049">
                  <c:v>-0.29225579190673195</c:v>
                </c:pt>
                <c:pt idx="1050">
                  <c:v>-0.24763048472261706</c:v>
                </c:pt>
                <c:pt idx="1051">
                  <c:v>-0.22227361172182319</c:v>
                </c:pt>
                <c:pt idx="1052">
                  <c:v>-0.1942494553803728</c:v>
                </c:pt>
                <c:pt idx="1053">
                  <c:v>-0.12242430557435281</c:v>
                </c:pt>
                <c:pt idx="1054">
                  <c:v>-4.9130064101444132E-2</c:v>
                </c:pt>
                <c:pt idx="1055">
                  <c:v>2.4743738140683806E-2</c:v>
                </c:pt>
                <c:pt idx="1056">
                  <c:v>9.8330615525123261E-2</c:v>
                </c:pt>
                <c:pt idx="1057">
                  <c:v>0.17073752552325838</c:v>
                </c:pt>
                <c:pt idx="1058">
                  <c:v>0.20960558521511796</c:v>
                </c:pt>
                <c:pt idx="1059">
                  <c:v>0.24595837788439837</c:v>
                </c:pt>
                <c:pt idx="1060">
                  <c:v>0.27935967001905831</c:v>
                </c:pt>
                <c:pt idx="1061">
                  <c:v>0.30941864611349135</c:v>
                </c:pt>
                <c:pt idx="1062">
                  <c:v>0.33575459845456079</c:v>
                </c:pt>
                <c:pt idx="1063">
                  <c:v>0.35806149561418144</c:v>
                </c:pt>
                <c:pt idx="1064">
                  <c:v>0.38356165482643018</c:v>
                </c:pt>
                <c:pt idx="1065">
                  <c:v>0.40445907418076504</c:v>
                </c:pt>
                <c:pt idx="1066">
                  <c:v>0.42049298464492435</c:v>
                </c:pt>
                <c:pt idx="1067">
                  <c:v>0.43149097929335783</c:v>
                </c:pt>
                <c:pt idx="1068">
                  <c:v>0.43731108219025733</c:v>
                </c:pt>
                <c:pt idx="1069">
                  <c:v>0.46357345210086554</c:v>
                </c:pt>
                <c:pt idx="1070">
                  <c:v>0.48427294058626597</c:v>
                </c:pt>
                <c:pt idx="1071">
                  <c:v>0.48053115378465616</c:v>
                </c:pt>
                <c:pt idx="1072">
                  <c:v>0.47101299313761186</c:v>
                </c:pt>
                <c:pt idx="1073">
                  <c:v>0.45584267657292149</c:v>
                </c:pt>
                <c:pt idx="1074">
                  <c:v>0.44323224788935484</c:v>
                </c:pt>
                <c:pt idx="1075">
                  <c:v>0.42530303223110938</c:v>
                </c:pt>
                <c:pt idx="1076">
                  <c:v>0.40227018018609922</c:v>
                </c:pt>
                <c:pt idx="1077">
                  <c:v>0.35635008597884998</c:v>
                </c:pt>
                <c:pt idx="1078">
                  <c:v>0.30615379073985205</c:v>
                </c:pt>
                <c:pt idx="1079">
                  <c:v>0.25228365001199371</c:v>
                </c:pt>
                <c:pt idx="1080">
                  <c:v>0.19538610548397145</c:v>
                </c:pt>
                <c:pt idx="1081">
                  <c:v>0.13613392769015004</c:v>
                </c:pt>
                <c:pt idx="1082">
                  <c:v>9.0158142764040286E-2</c:v>
                </c:pt>
                <c:pt idx="1083">
                  <c:v>4.3100460124768328E-2</c:v>
                </c:pt>
                <c:pt idx="1084">
                  <c:v>-4.484428036000002E-3</c:v>
                </c:pt>
                <c:pt idx="1085">
                  <c:v>-6.3295503060339361E-2</c:v>
                </c:pt>
                <c:pt idx="1086">
                  <c:v>-0.12135703204795315</c:v>
                </c:pt>
                <c:pt idx="1087">
                  <c:v>-0.17796227665099273</c:v>
                </c:pt>
                <c:pt idx="1088">
                  <c:v>-0.23242197393421843</c:v>
                </c:pt>
                <c:pt idx="1089">
                  <c:v>-0.2841026075302332</c:v>
                </c:pt>
                <c:pt idx="1090">
                  <c:v>-0.33236400983588638</c:v>
                </c:pt>
                <c:pt idx="1091">
                  <c:v>-0.30351704402351193</c:v>
                </c:pt>
                <c:pt idx="1092">
                  <c:v>-0.2710278736828492</c:v>
                </c:pt>
                <c:pt idx="1093">
                  <c:v>-0.31106636885799666</c:v>
                </c:pt>
                <c:pt idx="1094">
                  <c:v>-0.34738206760685697</c:v>
                </c:pt>
                <c:pt idx="1095">
                  <c:v>-0.3795291815444175</c:v>
                </c:pt>
                <c:pt idx="1096">
                  <c:v>-0.40712194530346296</c:v>
                </c:pt>
                <c:pt idx="1097">
                  <c:v>-0.42100924571885406</c:v>
                </c:pt>
                <c:pt idx="1098">
                  <c:v>-0.42984443518561538</c:v>
                </c:pt>
                <c:pt idx="1099">
                  <c:v>-0.43352149143016921</c:v>
                </c:pt>
                <c:pt idx="1100">
                  <c:v>-0.4510362897775389</c:v>
                </c:pt>
                <c:pt idx="1101">
                  <c:v>-0.46314865264758703</c:v>
                </c:pt>
                <c:pt idx="1102">
                  <c:v>-0.46970323168586853</c:v>
                </c:pt>
                <c:pt idx="1103">
                  <c:v>-0.47061137194390112</c:v>
                </c:pt>
                <c:pt idx="1104">
                  <c:v>-0.46588217573862323</c:v>
                </c:pt>
                <c:pt idx="1105">
                  <c:v>-0.41338239342447908</c:v>
                </c:pt>
                <c:pt idx="1106">
                  <c:v>-0.35591202238924136</c:v>
                </c:pt>
                <c:pt idx="1107">
                  <c:v>-0.29417070708533977</c:v>
                </c:pt>
                <c:pt idx="1108">
                  <c:v>-0.2289093432964015</c:v>
                </c:pt>
                <c:pt idx="1109">
                  <c:v>-0.16089106738791362</c:v>
                </c:pt>
                <c:pt idx="1110">
                  <c:v>-0.12590209867077315</c:v>
                </c:pt>
                <c:pt idx="1111">
                  <c:v>-8.9402304769576474E-2</c:v>
                </c:pt>
                <c:pt idx="1112">
                  <c:v>-5.1839683211146646E-2</c:v>
                </c:pt>
                <c:pt idx="1113">
                  <c:v>-1.3644985454184718E-2</c:v>
                </c:pt>
                <c:pt idx="1114">
                  <c:v>2.4713452128229379E-2</c:v>
                </c:pt>
                <c:pt idx="1115">
                  <c:v>7.9095328285100006E-2</c:v>
                </c:pt>
                <c:pt idx="1116">
                  <c:v>0.13251806050255335</c:v>
                </c:pt>
                <c:pt idx="1117">
                  <c:v>0.18436057599397404</c:v>
                </c:pt>
                <c:pt idx="1118">
                  <c:v>0.23399076457346865</c:v>
                </c:pt>
                <c:pt idx="1119">
                  <c:v>0.2728630639780823</c:v>
                </c:pt>
                <c:pt idx="1120">
                  <c:v>0.30845100661495894</c:v>
                </c:pt>
                <c:pt idx="1121">
                  <c:v>0.34034753717245358</c:v>
                </c:pt>
                <c:pt idx="1122">
                  <c:v>0.36814989728388686</c:v>
                </c:pt>
                <c:pt idx="1123">
                  <c:v>0.39153445862789932</c:v>
                </c:pt>
                <c:pt idx="1124">
                  <c:v>0.41515060646838026</c:v>
                </c:pt>
                <c:pt idx="1125">
                  <c:v>0.43377494703124642</c:v>
                </c:pt>
                <c:pt idx="1126">
                  <c:v>0.43349398822973162</c:v>
                </c:pt>
                <c:pt idx="1127">
                  <c:v>0.42800110156947752</c:v>
                </c:pt>
                <c:pt idx="1128">
                  <c:v>0.41738220169037443</c:v>
                </c:pt>
                <c:pt idx="1129">
                  <c:v>0.40174471539099021</c:v>
                </c:pt>
                <c:pt idx="1130">
                  <c:v>0.38129629250691077</c:v>
                </c:pt>
                <c:pt idx="1131">
                  <c:v>0.35626231411275533</c:v>
                </c:pt>
                <c:pt idx="1132">
                  <c:v>0.38349318794924508</c:v>
                </c:pt>
                <c:pt idx="1133">
                  <c:v>0.40612214353033349</c:v>
                </c:pt>
                <c:pt idx="1134">
                  <c:v>0.42386763338906996</c:v>
                </c:pt>
                <c:pt idx="1135">
                  <c:v>0.38292671164712883</c:v>
                </c:pt>
                <c:pt idx="1136">
                  <c:v>0.33739066936543188</c:v>
                </c:pt>
                <c:pt idx="1137">
                  <c:v>0.28780593905134005</c:v>
                </c:pt>
                <c:pt idx="1138">
                  <c:v>0.24347753746864051</c:v>
                </c:pt>
                <c:pt idx="1139">
                  <c:v>0.19622740543630604</c:v>
                </c:pt>
                <c:pt idx="1140">
                  <c:v>0.14662254453874557</c:v>
                </c:pt>
                <c:pt idx="1141">
                  <c:v>8.4458213106718347E-2</c:v>
                </c:pt>
                <c:pt idx="1142">
                  <c:v>2.1280383117408281E-2</c:v>
                </c:pt>
                <c:pt idx="1143">
                  <c:v>-4.2152811469308354E-2</c:v>
                </c:pt>
                <c:pt idx="1144">
                  <c:v>-0.10509017231839345</c:v>
                </c:pt>
                <c:pt idx="1145">
                  <c:v>-0.16675645109965728</c:v>
                </c:pt>
                <c:pt idx="1146">
                  <c:v>-0.22642165246773097</c:v>
                </c:pt>
                <c:pt idx="1147">
                  <c:v>-0.26309979400618733</c:v>
                </c:pt>
                <c:pt idx="1148">
                  <c:v>-0.29662073801656369</c:v>
                </c:pt>
                <c:pt idx="1149">
                  <c:v>-0.33783223317074801</c:v>
                </c:pt>
                <c:pt idx="1150">
                  <c:v>-0.3749897415268903</c:v>
                </c:pt>
                <c:pt idx="1151">
                  <c:v>-0.40765737298470006</c:v>
                </c:pt>
                <c:pt idx="1152">
                  <c:v>-0.43542311596668748</c:v>
                </c:pt>
                <c:pt idx="1153">
                  <c:v>-0.45797378155708768</c:v>
                </c:pt>
                <c:pt idx="1154">
                  <c:v>-0.45326876176880226</c:v>
                </c:pt>
                <c:pt idx="1155">
                  <c:v>-0.4431345168392879</c:v>
                </c:pt>
                <c:pt idx="1156">
                  <c:v>-0.42767265770770385</c:v>
                </c:pt>
                <c:pt idx="1157">
                  <c:v>-0.42926872668362037</c:v>
                </c:pt>
                <c:pt idx="1158">
                  <c:v>-0.42570357093933869</c:v>
                </c:pt>
                <c:pt idx="1159">
                  <c:v>-0.4170299723437777</c:v>
                </c:pt>
                <c:pt idx="1160">
                  <c:v>-0.40335201408009907</c:v>
                </c:pt>
                <c:pt idx="1161">
                  <c:v>-0.38290383164745007</c:v>
                </c:pt>
                <c:pt idx="1162">
                  <c:v>-0.35785080323505208</c:v>
                </c:pt>
                <c:pt idx="1163">
                  <c:v>-0.33760356518381524</c:v>
                </c:pt>
                <c:pt idx="1164">
                  <c:v>-0.31331508435037886</c:v>
                </c:pt>
                <c:pt idx="1165">
                  <c:v>-0.28525682250473727</c:v>
                </c:pt>
                <c:pt idx="1166">
                  <c:v>-0.25377547878903739</c:v>
                </c:pt>
                <c:pt idx="1167">
                  <c:v>-0.21924882932786766</c:v>
                </c:pt>
                <c:pt idx="1168">
                  <c:v>-0.18210119391477123</c:v>
                </c:pt>
                <c:pt idx="1169">
                  <c:v>-0.12185834417468937</c:v>
                </c:pt>
                <c:pt idx="1170">
                  <c:v>-6.0153194304513304E-2</c:v>
                </c:pt>
                <c:pt idx="1171">
                  <c:v>2.2737938973154109E-3</c:v>
                </c:pt>
                <c:pt idx="1172">
                  <c:v>6.4673496572376435E-2</c:v>
                </c:pt>
                <c:pt idx="1173">
                  <c:v>0.12629711728857168</c:v>
                </c:pt>
                <c:pt idx="1174">
                  <c:v>0.18640517259729947</c:v>
                </c:pt>
                <c:pt idx="1175">
                  <c:v>0.22422636583487118</c:v>
                </c:pt>
                <c:pt idx="1176">
                  <c:v>0.25935684268240528</c:v>
                </c:pt>
                <c:pt idx="1177">
                  <c:v>0.29137503741776849</c:v>
                </c:pt>
                <c:pt idx="1178">
                  <c:v>0.31989673170410099</c:v>
                </c:pt>
                <c:pt idx="1179">
                  <c:v>0.34457966520999406</c:v>
                </c:pt>
                <c:pt idx="1180">
                  <c:v>0.40816764273336831</c:v>
                </c:pt>
                <c:pt idx="1181">
                  <c:v>0.46686760854394022</c:v>
                </c:pt>
                <c:pt idx="1182">
                  <c:v>0.47056516305198426</c:v>
                </c:pt>
                <c:pt idx="1183">
                  <c:v>0.46861593560341536</c:v>
                </c:pt>
                <c:pt idx="1184">
                  <c:v>0.46105331692758605</c:v>
                </c:pt>
                <c:pt idx="1185">
                  <c:v>0.44794805844864272</c:v>
                </c:pt>
                <c:pt idx="1186">
                  <c:v>0.46100742326830085</c:v>
                </c:pt>
                <c:pt idx="1187">
                  <c:v>0.4685246990087516</c:v>
                </c:pt>
                <c:pt idx="1188">
                  <c:v>0.47042967836108307</c:v>
                </c:pt>
                <c:pt idx="1189">
                  <c:v>0.46667950157310267</c:v>
                </c:pt>
                <c:pt idx="1190">
                  <c:v>0.45733917076622599</c:v>
                </c:pt>
                <c:pt idx="1191">
                  <c:v>0.39865076991016463</c:v>
                </c:pt>
                <c:pt idx="1192">
                  <c:v>0.33517855981517702</c:v>
                </c:pt>
                <c:pt idx="1193">
                  <c:v>0.26769420700240104</c:v>
                </c:pt>
                <c:pt idx="1194">
                  <c:v>0.19698752370561534</c:v>
                </c:pt>
                <c:pt idx="1195">
                  <c:v>0.17015699012434957</c:v>
                </c:pt>
                <c:pt idx="1196">
                  <c:v>0.14128457266159261</c:v>
                </c:pt>
                <c:pt idx="1197">
                  <c:v>0.11072674032689787</c:v>
                </c:pt>
                <c:pt idx="1198">
                  <c:v>7.8830187108279229E-2</c:v>
                </c:pt>
                <c:pt idx="1199">
                  <c:v>4.5987671644362238E-2</c:v>
                </c:pt>
                <c:pt idx="1200">
                  <c:v>-2.0786695879289156E-2</c:v>
                </c:pt>
                <c:pt idx="1201">
                  <c:v>-8.7311623052385795E-2</c:v>
                </c:pt>
                <c:pt idx="1202">
                  <c:v>-0.15278881074885872</c:v>
                </c:pt>
                <c:pt idx="1203">
                  <c:v>-0.21643253271633708</c:v>
                </c:pt>
                <c:pt idx="1204">
                  <c:v>-0.27747906429122571</c:v>
                </c:pt>
                <c:pt idx="1205">
                  <c:v>-0.33519584709462352</c:v>
                </c:pt>
                <c:pt idx="1206">
                  <c:v>-0.38889027973288032</c:v>
                </c:pt>
                <c:pt idx="1207">
                  <c:v>-0.43791802901434196</c:v>
                </c:pt>
                <c:pt idx="1208">
                  <c:v>-0.41559076194763211</c:v>
                </c:pt>
                <c:pt idx="1209">
                  <c:v>-0.38828640573755363</c:v>
                </c:pt>
                <c:pt idx="1210">
                  <c:v>-0.35631261265861319</c:v>
                </c:pt>
                <c:pt idx="1211">
                  <c:v>-0.32006306822778341</c:v>
                </c:pt>
                <c:pt idx="1212">
                  <c:v>-0.36719276697821063</c:v>
                </c:pt>
                <c:pt idx="1213">
                  <c:v>-0.4099161525249152</c:v>
                </c:pt>
                <c:pt idx="1214">
                  <c:v>-0.44772054424129909</c:v>
                </c:pt>
                <c:pt idx="1215">
                  <c:v>-0.48015228942679694</c:v>
                </c:pt>
                <c:pt idx="1216">
                  <c:v>-0.50682220713918735</c:v>
                </c:pt>
                <c:pt idx="1217">
                  <c:v>-0.52740025836588411</c:v>
                </c:pt>
                <c:pt idx="1218">
                  <c:v>-0.54165950649220485</c:v>
                </c:pt>
                <c:pt idx="1219">
                  <c:v>-0.41934884054060839</c:v>
                </c:pt>
                <c:pt idx="1220">
                  <c:v>-0.29200598850253295</c:v>
                </c:pt>
                <c:pt idx="1221">
                  <c:v>-0.26498906460243471</c:v>
                </c:pt>
                <c:pt idx="1222">
                  <c:v>-0.23479227192708516</c:v>
                </c:pt>
                <c:pt idx="1223">
                  <c:v>-0.20177797198863257</c:v>
                </c:pt>
                <c:pt idx="1224">
                  <c:v>-0.16635233638630015</c:v>
                </c:pt>
                <c:pt idx="1225">
                  <c:v>-0.12892047274733956</c:v>
                </c:pt>
                <c:pt idx="1226">
                  <c:v>-5.2181563435410624E-2</c:v>
                </c:pt>
                <c:pt idx="1227">
                  <c:v>2.5193524637743065E-2</c:v>
                </c:pt>
                <c:pt idx="1228">
                  <c:v>7.1596290415244526E-2</c:v>
                </c:pt>
                <c:pt idx="1229">
                  <c:v>0.11713990070776341</c:v>
                </c:pt>
                <c:pt idx="1230">
                  <c:v>0.16126783219178736</c:v>
                </c:pt>
                <c:pt idx="1231">
                  <c:v>0.21077054968951037</c:v>
                </c:pt>
                <c:pt idx="1232">
                  <c:v>0.25774402059095758</c:v>
                </c:pt>
                <c:pt idx="1233">
                  <c:v>0.27807456324532331</c:v>
                </c:pt>
                <c:pt idx="1234">
                  <c:v>0.29506821114073756</c:v>
                </c:pt>
                <c:pt idx="1235">
                  <c:v>0.30853104050245372</c:v>
                </c:pt>
                <c:pt idx="1236">
                  <c:v>0.31828149737815697</c:v>
                </c:pt>
                <c:pt idx="1237">
                  <c:v>0.32422257628531187</c:v>
                </c:pt>
                <c:pt idx="1238">
                  <c:v>0.34358298427705247</c:v>
                </c:pt>
                <c:pt idx="1239">
                  <c:v>0.35882039645745989</c:v>
                </c:pt>
                <c:pt idx="1240">
                  <c:v>0.36975196388037196</c:v>
                </c:pt>
                <c:pt idx="1241">
                  <c:v>0.37624650773673218</c:v>
                </c:pt>
                <c:pt idx="1242">
                  <c:v>0.37058609350025268</c:v>
                </c:pt>
                <c:pt idx="1243">
                  <c:v>0.3604786461417625</c:v>
                </c:pt>
                <c:pt idx="1244">
                  <c:v>0.34603545502956845</c:v>
                </c:pt>
                <c:pt idx="1245">
                  <c:v>0.32744983845703168</c:v>
                </c:pt>
                <c:pt idx="1246">
                  <c:v>0.30493482382300696</c:v>
                </c:pt>
                <c:pt idx="1247">
                  <c:v>0.33506059130309573</c:v>
                </c:pt>
                <c:pt idx="1248">
                  <c:v>0.36115563168755743</c:v>
                </c:pt>
                <c:pt idx="1249">
                  <c:v>0.38292680449175837</c:v>
                </c:pt>
                <c:pt idx="1250">
                  <c:v>0.34218285564207185</c:v>
                </c:pt>
                <c:pt idx="1251">
                  <c:v>0.29733271252467203</c:v>
                </c:pt>
                <c:pt idx="1252">
                  <c:v>0.24891457685697477</c:v>
                </c:pt>
                <c:pt idx="1253">
                  <c:v>0.19750946626700222</c:v>
                </c:pt>
                <c:pt idx="1254">
                  <c:v>0.17614424208181817</c:v>
                </c:pt>
                <c:pt idx="1255">
                  <c:v>0.15266528699165499</c:v>
                </c:pt>
                <c:pt idx="1256">
                  <c:v>0.12735434845759097</c:v>
                </c:pt>
                <c:pt idx="1257">
                  <c:v>6.3535157742035234E-2</c:v>
                </c:pt>
                <c:pt idx="1258">
                  <c:v>-1.0464548664233797E-3</c:v>
                </c:pt>
                <c:pt idx="1259">
                  <c:v>-6.5605510016484597E-2</c:v>
                </c:pt>
                <c:pt idx="1260">
                  <c:v>-0.12938729904635313</c:v>
                </c:pt>
                <c:pt idx="1261">
                  <c:v>-0.19160644048765976</c:v>
                </c:pt>
                <c:pt idx="1262">
                  <c:v>-0.24626630464311647</c:v>
                </c:pt>
                <c:pt idx="1263">
                  <c:v>-0.29797097314284476</c:v>
                </c:pt>
                <c:pt idx="1264">
                  <c:v>-0.34609998996487645</c:v>
                </c:pt>
                <c:pt idx="1265">
                  <c:v>-0.39006580690732762</c:v>
                </c:pt>
                <c:pt idx="1266">
                  <c:v>-0.42936083416687981</c:v>
                </c:pt>
                <c:pt idx="1267">
                  <c:v>-0.46350353141644085</c:v>
                </c:pt>
                <c:pt idx="1268">
                  <c:v>-0.49208418628899142</c:v>
                </c:pt>
                <c:pt idx="1269">
                  <c:v>-0.51475983092608235</c:v>
                </c:pt>
                <c:pt idx="1270">
                  <c:v>-0.438208357592066</c:v>
                </c:pt>
                <c:pt idx="1271">
                  <c:v>-0.35639838396693718</c:v>
                </c:pt>
                <c:pt idx="1272">
                  <c:v>-0.36753162973419962</c:v>
                </c:pt>
                <c:pt idx="1273">
                  <c:v>-0.37426449594466382</c:v>
                </c:pt>
                <c:pt idx="1274">
                  <c:v>-0.37650618820378801</c:v>
                </c:pt>
                <c:pt idx="1275">
                  <c:v>-0.34832980620446219</c:v>
                </c:pt>
                <c:pt idx="1276">
                  <c:v>-0.31598346653068532</c:v>
                </c:pt>
                <c:pt idx="1277">
                  <c:v>-0.27984532525854139</c:v>
                </c:pt>
                <c:pt idx="1278">
                  <c:v>-0.24033904008329257</c:v>
                </c:pt>
                <c:pt idx="1279">
                  <c:v>-0.19795868642705042</c:v>
                </c:pt>
                <c:pt idx="1280">
                  <c:v>-0.19554282853368299</c:v>
                </c:pt>
                <c:pt idx="1281">
                  <c:v>-0.19079045669790401</c:v>
                </c:pt>
                <c:pt idx="1282">
                  <c:v>-0.18373859938175485</c:v>
                </c:pt>
                <c:pt idx="1283">
                  <c:v>-0.17449187887302831</c:v>
                </c:pt>
                <c:pt idx="1284">
                  <c:v>-0.16315125581781881</c:v>
                </c:pt>
                <c:pt idx="1285">
                  <c:v>-0.14984281769279759</c:v>
                </c:pt>
                <c:pt idx="1286">
                  <c:v>-0.13474626575546247</c:v>
                </c:pt>
                <c:pt idx="1287">
                  <c:v>-0.11802275862906296</c:v>
                </c:pt>
                <c:pt idx="1288">
                  <c:v>-8.0129783991129792E-3</c:v>
                </c:pt>
                <c:pt idx="1289">
                  <c:v>0.10209295757162423</c:v>
                </c:pt>
                <c:pt idx="1290">
                  <c:v>0.21097377805150314</c:v>
                </c:pt>
                <c:pt idx="1291">
                  <c:v>0.31731291319476473</c:v>
                </c:pt>
                <c:pt idx="1292">
                  <c:v>0.33401429337969429</c:v>
                </c:pt>
                <c:pt idx="1293">
                  <c:v>0.34670750204405204</c:v>
                </c:pt>
                <c:pt idx="1294">
                  <c:v>0.35524022068389532</c:v>
                </c:pt>
                <c:pt idx="1295">
                  <c:v>0.35950005667551799</c:v>
                </c:pt>
                <c:pt idx="1296">
                  <c:v>0.35945589198704914</c:v>
                </c:pt>
                <c:pt idx="1297">
                  <c:v>0.35509825659473054</c:v>
                </c:pt>
                <c:pt idx="1298">
                  <c:v>0.42921944212327268</c:v>
                </c:pt>
                <c:pt idx="1299">
                  <c:v>0.49817999434634186</c:v>
                </c:pt>
                <c:pt idx="1300">
                  <c:v>0.56117238663724689</c:v>
                </c:pt>
                <c:pt idx="1301">
                  <c:v>0.53865071028851796</c:v>
                </c:pt>
                <c:pt idx="1302">
                  <c:v>0.50966522541631865</c:v>
                </c:pt>
                <c:pt idx="1303">
                  <c:v>0.47456375783911336</c:v>
                </c:pt>
                <c:pt idx="1304">
                  <c:v>0.43376752516784911</c:v>
                </c:pt>
                <c:pt idx="1305">
                  <c:v>0.38776608219457787</c:v>
                </c:pt>
                <c:pt idx="1306">
                  <c:v>0.33711144623496409</c:v>
                </c:pt>
                <c:pt idx="1307">
                  <c:v>0.28241147292052282</c:v>
                </c:pt>
                <c:pt idx="1308">
                  <c:v>0.22432256193104672</c:v>
                </c:pt>
                <c:pt idx="1309">
                  <c:v>0.16354178019838778</c:v>
                </c:pt>
                <c:pt idx="1310">
                  <c:v>0.10079849710335807</c:v>
                </c:pt>
                <c:pt idx="1311">
                  <c:v>3.6845632043081694E-2</c:v>
                </c:pt>
                <c:pt idx="1312">
                  <c:v>-2.7549380601707679E-2</c:v>
                </c:pt>
                <c:pt idx="1313">
                  <c:v>-5.0603800679279852E-2</c:v>
                </c:pt>
                <c:pt idx="1314">
                  <c:v>-7.3050975148699154E-2</c:v>
                </c:pt>
                <c:pt idx="1315">
                  <c:v>-9.4621537916333029E-2</c:v>
                </c:pt>
                <c:pt idx="1316">
                  <c:v>-0.11504664222897133</c:v>
                </c:pt>
                <c:pt idx="1317">
                  <c:v>-0.14474118683486212</c:v>
                </c:pt>
                <c:pt idx="1318">
                  <c:v>-0.17268883719873507</c:v>
                </c:pt>
                <c:pt idx="1319">
                  <c:v>-0.19857422151622112</c:v>
                </c:pt>
                <c:pt idx="1320">
                  <c:v>-0.2220767151755185</c:v>
                </c:pt>
                <c:pt idx="1321">
                  <c:v>-0.24862428825270491</c:v>
                </c:pt>
                <c:pt idx="1322">
                  <c:v>-0.27218836987085837</c:v>
                </c:pt>
                <c:pt idx="1323">
                  <c:v>-0.29248619105057094</c:v>
                </c:pt>
                <c:pt idx="1324">
                  <c:v>-0.30927417793765766</c:v>
                </c:pt>
                <c:pt idx="1325">
                  <c:v>-0.32235087468950735</c:v>
                </c:pt>
                <c:pt idx="1326">
                  <c:v>-0.33155936094507887</c:v>
                </c:pt>
                <c:pt idx="1327">
                  <c:v>-0.34386913486930593</c:v>
                </c:pt>
                <c:pt idx="1328">
                  <c:v>-0.35205247917511129</c:v>
                </c:pt>
                <c:pt idx="1329">
                  <c:v>-0.3560111937308012</c:v>
                </c:pt>
                <c:pt idx="1330">
                  <c:v>-0.35569777396172658</c:v>
                </c:pt>
                <c:pt idx="1331">
                  <c:v>-0.35111598090512008</c:v>
                </c:pt>
                <c:pt idx="1332">
                  <c:v>-0.32531079607764096</c:v>
                </c:pt>
                <c:pt idx="1333">
                  <c:v>-0.29559188169723039</c:v>
                </c:pt>
                <c:pt idx="1334">
                  <c:v>-0.26232586473646718</c:v>
                </c:pt>
                <c:pt idx="1335">
                  <c:v>-0.22591193739885435</c:v>
                </c:pt>
                <c:pt idx="1336">
                  <c:v>-0.18678706681245258</c:v>
                </c:pt>
                <c:pt idx="1337">
                  <c:v>-0.17187075142431443</c:v>
                </c:pt>
                <c:pt idx="1338">
                  <c:v>-0.15489198701907181</c:v>
                </c:pt>
                <c:pt idx="1339">
                  <c:v>-0.13605451876960631</c:v>
                </c:pt>
                <c:pt idx="1340">
                  <c:v>-0.11558439629490418</c:v>
                </c:pt>
                <c:pt idx="1341">
                  <c:v>-9.3727261064664072E-2</c:v>
                </c:pt>
                <c:pt idx="1342">
                  <c:v>-6.237539870164633E-2</c:v>
                </c:pt>
                <c:pt idx="1343">
                  <c:v>-3.0285031554210265E-2</c:v>
                </c:pt>
                <c:pt idx="1344">
                  <c:v>2.1787559718758429E-3</c:v>
                </c:pt>
                <c:pt idx="1345">
                  <c:v>3.4616398426301181E-2</c:v>
                </c:pt>
                <c:pt idx="1346">
                  <c:v>6.662864409961089E-2</c:v>
                </c:pt>
                <c:pt idx="1347">
                  <c:v>0.11566134604372533</c:v>
                </c:pt>
                <c:pt idx="1348">
                  <c:v>0.16330611183531032</c:v>
                </c:pt>
                <c:pt idx="1349">
                  <c:v>0.20899120428487497</c:v>
                </c:pt>
                <c:pt idx="1350">
                  <c:v>0.25216840228302512</c:v>
                </c:pt>
                <c:pt idx="1351">
                  <c:v>0.27010957945377589</c:v>
                </c:pt>
                <c:pt idx="1352">
                  <c:v>0.28481944167108114</c:v>
                </c:pt>
                <c:pt idx="1353">
                  <c:v>0.29611147058833126</c:v>
                </c:pt>
                <c:pt idx="1354">
                  <c:v>0.30384016185852192</c:v>
                </c:pt>
                <c:pt idx="1355">
                  <c:v>0.30793277118641715</c:v>
                </c:pt>
                <c:pt idx="1356">
                  <c:v>0.30832018726006588</c:v>
                </c:pt>
                <c:pt idx="1357">
                  <c:v>0.32040776108660085</c:v>
                </c:pt>
                <c:pt idx="1358">
                  <c:v>0.32865044178009317</c:v>
                </c:pt>
                <c:pt idx="1359">
                  <c:v>0.33293931717223113</c:v>
                </c:pt>
                <c:pt idx="1360">
                  <c:v>0.31947292075828848</c:v>
                </c:pt>
                <c:pt idx="1361">
                  <c:v>0.30216284929525294</c:v>
                </c:pt>
                <c:pt idx="1362">
                  <c:v>0.28122682364067808</c:v>
                </c:pt>
                <c:pt idx="1363">
                  <c:v>0.26943607610241394</c:v>
                </c:pt>
                <c:pt idx="1364">
                  <c:v>0.25441209565091588</c:v>
                </c:pt>
                <c:pt idx="1365">
                  <c:v>0.23633517005160803</c:v>
                </c:pt>
                <c:pt idx="1366">
                  <c:v>0.20265222241168607</c:v>
                </c:pt>
                <c:pt idx="1367">
                  <c:v>0.16654744810282085</c:v>
                </c:pt>
                <c:pt idx="1368">
                  <c:v>0.12844410441672538</c:v>
                </c:pt>
                <c:pt idx="1369">
                  <c:v>8.8789431477625039E-2</c:v>
                </c:pt>
                <c:pt idx="1370">
                  <c:v>4.8079285360793068E-2</c:v>
                </c:pt>
                <c:pt idx="1371">
                  <c:v>2.2882187819632516E-2</c:v>
                </c:pt>
                <c:pt idx="1372">
                  <c:v>-2.5894959753645095E-3</c:v>
                </c:pt>
                <c:pt idx="1373">
                  <c:v>-2.8020105818655616E-2</c:v>
                </c:pt>
                <c:pt idx="1374">
                  <c:v>-5.3124474392125719E-2</c:v>
                </c:pt>
                <c:pt idx="1375">
                  <c:v>-7.759134927288612E-2</c:v>
                </c:pt>
                <c:pt idx="1376">
                  <c:v>-0.1011271279623767</c:v>
                </c:pt>
                <c:pt idx="1377">
                  <c:v>-0.13987938111631373</c:v>
                </c:pt>
                <c:pt idx="1378">
                  <c:v>-0.17694308169685688</c:v>
                </c:pt>
                <c:pt idx="1379">
                  <c:v>-0.21189346529703604</c:v>
                </c:pt>
                <c:pt idx="1380">
                  <c:v>-0.24280112731365697</c:v>
                </c:pt>
                <c:pt idx="1381">
                  <c:v>-0.27079517580251394</c:v>
                </c:pt>
                <c:pt idx="1382">
                  <c:v>-0.29553968218173909</c:v>
                </c:pt>
                <c:pt idx="1383">
                  <c:v>-0.31673771237477383</c:v>
                </c:pt>
                <c:pt idx="1384">
                  <c:v>-0.33413489001931762</c:v>
                </c:pt>
                <c:pt idx="1385">
                  <c:v>-0.33242244898363904</c:v>
                </c:pt>
                <c:pt idx="1386">
                  <c:v>-0.32671093856014283</c:v>
                </c:pt>
                <c:pt idx="1387">
                  <c:v>-0.31708889687392849</c:v>
                </c:pt>
                <c:pt idx="1388">
                  <c:v>-0.30366178842523239</c:v>
                </c:pt>
                <c:pt idx="1389">
                  <c:v>-0.28659073851542827</c:v>
                </c:pt>
                <c:pt idx="1390">
                  <c:v>-0.26077059974343419</c:v>
                </c:pt>
                <c:pt idx="1391">
                  <c:v>-0.23182121377451989</c:v>
                </c:pt>
                <c:pt idx="1392">
                  <c:v>-0.20008997324032565</c:v>
                </c:pt>
                <c:pt idx="1393">
                  <c:v>-0.19373765302724449</c:v>
                </c:pt>
                <c:pt idx="1394">
                  <c:v>-0.18506048097782432</c:v>
                </c:pt>
                <c:pt idx="1395">
                  <c:v>-0.17416258315667815</c:v>
                </c:pt>
                <c:pt idx="1396">
                  <c:v>-0.16116473433765327</c:v>
                </c:pt>
                <c:pt idx="1397">
                  <c:v>-0.1462429087065707</c:v>
                </c:pt>
                <c:pt idx="1398">
                  <c:v>-0.10664616817101211</c:v>
                </c:pt>
                <c:pt idx="1399">
                  <c:v>-6.5759673617400385E-2</c:v>
                </c:pt>
                <c:pt idx="1400">
                  <c:v>-2.4094062980380637E-2</c:v>
                </c:pt>
                <c:pt idx="1401">
                  <c:v>1.7870676412403211E-2</c:v>
                </c:pt>
                <c:pt idx="1402">
                  <c:v>5.9610967688238217E-2</c:v>
                </c:pt>
                <c:pt idx="1403">
                  <c:v>0.10063592735181617</c:v>
                </c:pt>
                <c:pt idx="1404">
                  <c:v>0.1404632558871699</c:v>
                </c:pt>
                <c:pt idx="1405">
                  <c:v>0.15457502535187911</c:v>
                </c:pt>
                <c:pt idx="1406">
                  <c:v>0.16683189451236358</c:v>
                </c:pt>
                <c:pt idx="1407">
                  <c:v>0.17708678093869859</c:v>
                </c:pt>
                <c:pt idx="1408">
                  <c:v>0.18521662599377134</c:v>
                </c:pt>
                <c:pt idx="1409">
                  <c:v>0.19112387153691865</c:v>
                </c:pt>
                <c:pt idx="1410">
                  <c:v>0.22322763062162468</c:v>
                </c:pt>
                <c:pt idx="1411">
                  <c:v>0.25265265813887405</c:v>
                </c:pt>
                <c:pt idx="1412">
                  <c:v>0.27904585375845486</c:v>
                </c:pt>
                <c:pt idx="1413">
                  <c:v>0.3020904991329334</c:v>
                </c:pt>
                <c:pt idx="1414">
                  <c:v>0.32151005851781089</c:v>
                </c:pt>
                <c:pt idx="1415">
                  <c:v>0.31524149720047778</c:v>
                </c:pt>
                <c:pt idx="1416">
                  <c:v>0.30519003791673688</c:v>
                </c:pt>
                <c:pt idx="1417">
                  <c:v>0.29147629817800541</c:v>
                </c:pt>
                <c:pt idx="1418">
                  <c:v>0.27426484286113045</c:v>
                </c:pt>
                <c:pt idx="1419">
                  <c:v>0.25988220942992424</c:v>
                </c:pt>
                <c:pt idx="1420">
                  <c:v>0.24238098948555722</c:v>
                </c:pt>
                <c:pt idx="1421">
                  <c:v>0.22197119766736081</c:v>
                </c:pt>
                <c:pt idx="1422">
                  <c:v>0.1988977514771591</c:v>
                </c:pt>
                <c:pt idx="1423">
                  <c:v>0.1704575322692358</c:v>
                </c:pt>
                <c:pt idx="1424">
                  <c:v>0.13997182267407515</c:v>
                </c:pt>
                <c:pt idx="1425">
                  <c:v>0.11966645120682758</c:v>
                </c:pt>
                <c:pt idx="1426">
                  <c:v>9.7935082325098066E-2</c:v>
                </c:pt>
                <c:pt idx="1427">
                  <c:v>7.5028492455468748E-2</c:v>
                </c:pt>
                <c:pt idx="1428">
                  <c:v>3.4771560676372618E-2</c:v>
                </c:pt>
                <c:pt idx="1429">
                  <c:v>-5.8926298308401683E-3</c:v>
                </c:pt>
                <c:pt idx="1430">
                  <c:v>-4.6496108780082417E-2</c:v>
                </c:pt>
                <c:pt idx="1431">
                  <c:v>-8.6531634423965109E-2</c:v>
                </c:pt>
                <c:pt idx="1432">
                  <c:v>-0.12553878045475736</c:v>
                </c:pt>
                <c:pt idx="1433">
                  <c:v>-0.13935946112009343</c:v>
                </c:pt>
                <c:pt idx="1434">
                  <c:v>-0.15151782825198684</c:v>
                </c:pt>
                <c:pt idx="1435">
                  <c:v>-0.16184798144486298</c:v>
                </c:pt>
                <c:pt idx="1436">
                  <c:v>-0.17024595886039329</c:v>
                </c:pt>
                <c:pt idx="1437">
                  <c:v>-0.17659098476960691</c:v>
                </c:pt>
                <c:pt idx="1438">
                  <c:v>-0.18082691886157734</c:v>
                </c:pt>
                <c:pt idx="1439">
                  <c:v>-0.20492292992721223</c:v>
                </c:pt>
                <c:pt idx="1440">
                  <c:v>-0.2265698658337166</c:v>
                </c:pt>
                <c:pt idx="1441">
                  <c:v>-0.24549796335022675</c:v>
                </c:pt>
                <c:pt idx="1442">
                  <c:v>-0.26148008530652023</c:v>
                </c:pt>
                <c:pt idx="1443">
                  <c:v>-0.2743244462391492</c:v>
                </c:pt>
                <c:pt idx="1444">
                  <c:v>-0.28386691381690216</c:v>
                </c:pt>
                <c:pt idx="1445">
                  <c:v>-0.29001297842885188</c:v>
                </c:pt>
                <c:pt idx="1446">
                  <c:v>-0.2837688872996515</c:v>
                </c:pt>
                <c:pt idx="1447">
                  <c:v>-0.27410956952286791</c:v>
                </c:pt>
                <c:pt idx="1448">
                  <c:v>-0.26116093691179887</c:v>
                </c:pt>
                <c:pt idx="1449">
                  <c:v>-0.24508837305778872</c:v>
                </c:pt>
                <c:pt idx="1450">
                  <c:v>-0.23287474872708303</c:v>
                </c:pt>
                <c:pt idx="1451">
                  <c:v>-0.21786662741165749</c:v>
                </c:pt>
                <c:pt idx="1452">
                  <c:v>-0.20024410656729322</c:v>
                </c:pt>
                <c:pt idx="1453">
                  <c:v>-0.18021865644411628</c:v>
                </c:pt>
                <c:pt idx="1454">
                  <c:v>-0.15803058244361695</c:v>
                </c:pt>
                <c:pt idx="1455">
                  <c:v>-0.12079614145378884</c:v>
                </c:pt>
                <c:pt idx="1456">
                  <c:v>-8.2112146766516653E-2</c:v>
                </c:pt>
                <c:pt idx="1457">
                  <c:v>-4.2442806318046478E-2</c:v>
                </c:pt>
                <c:pt idx="1458">
                  <c:v>3.7465847806240987E-2</c:v>
                </c:pt>
                <c:pt idx="1459">
                  <c:v>4.1904911756852466E-2</c:v>
                </c:pt>
                <c:pt idx="1460">
                  <c:v>7.3641116766382519E-2</c:v>
                </c:pt>
                <c:pt idx="1461">
                  <c:v>0.10450362837471829</c:v>
                </c:pt>
                <c:pt idx="1462">
                  <c:v>0.13411209644255362</c:v>
                </c:pt>
                <c:pt idx="1463">
                  <c:v>0.16210121935307997</c:v>
                </c:pt>
                <c:pt idx="1464">
                  <c:v>0.18815512763137004</c:v>
                </c:pt>
                <c:pt idx="1465">
                  <c:v>0.21195117437808503</c:v>
                </c:pt>
                <c:pt idx="1466">
                  <c:v>0.23319380703225398</c:v>
                </c:pt>
                <c:pt idx="1467">
                  <c:v>0.251648114002051</c:v>
                </c:pt>
                <c:pt idx="1468">
                  <c:v>0.26708264360380662</c:v>
                </c:pt>
                <c:pt idx="1469">
                  <c:v>0.27930218148232777</c:v>
                </c:pt>
                <c:pt idx="1470">
                  <c:v>0.28818009318305576</c:v>
                </c:pt>
                <c:pt idx="1471">
                  <c:v>0.29359984376558196</c:v>
                </c:pt>
                <c:pt idx="1472">
                  <c:v>0.29548639622293832</c:v>
                </c:pt>
                <c:pt idx="1473">
                  <c:v>0.29383711192561018</c:v>
                </c:pt>
                <c:pt idx="1474">
                  <c:v>0.28865178228517763</c:v>
                </c:pt>
                <c:pt idx="1475">
                  <c:v>0.28001263125731424</c:v>
                </c:pt>
                <c:pt idx="1476">
                  <c:v>0.2680133286543781</c:v>
                </c:pt>
                <c:pt idx="1477">
                  <c:v>0.25278786610757537</c:v>
                </c:pt>
                <c:pt idx="1478">
                  <c:v>0.23453894916748447</c:v>
                </c:pt>
                <c:pt idx="1479">
                  <c:v>0.21347556483738547</c:v>
                </c:pt>
                <c:pt idx="1480">
                  <c:v>0.18984047372923826</c:v>
                </c:pt>
                <c:pt idx="1481">
                  <c:v>0.16393729693633605</c:v>
                </c:pt>
                <c:pt idx="1482">
                  <c:v>0.13606687258020123</c:v>
                </c:pt>
                <c:pt idx="1483">
                  <c:v>0.10655364575310301</c:v>
                </c:pt>
                <c:pt idx="1484">
                  <c:v>7.5771775176973033E-2</c:v>
                </c:pt>
                <c:pt idx="1485">
                  <c:v>4.4080643298712731E-2</c:v>
                </c:pt>
                <c:pt idx="1486">
                  <c:v>1.1850543700871369E-2</c:v>
                </c:pt>
                <c:pt idx="1487">
                  <c:v>-2.0511762421381637E-2</c:v>
                </c:pt>
                <c:pt idx="1488">
                  <c:v>-5.2627927394577549E-2</c:v>
                </c:pt>
                <c:pt idx="1489">
                  <c:v>-8.4122557239038165E-2</c:v>
                </c:pt>
                <c:pt idx="1490">
                  <c:v>-0.11459771639663095</c:v>
                </c:pt>
                <c:pt idx="1491">
                  <c:v>-0.14369770295746429</c:v>
                </c:pt>
                <c:pt idx="1492">
                  <c:v>-0.17108331708280688</c:v>
                </c:pt>
                <c:pt idx="1493">
                  <c:v>-0.19640593140315965</c:v>
                </c:pt>
                <c:pt idx="1494">
                  <c:v>-0.21937167454667403</c:v>
                </c:pt>
                <c:pt idx="1495">
                  <c:v>-0.23971495759562542</c:v>
                </c:pt>
                <c:pt idx="1496">
                  <c:v>-0.25717166115343021</c:v>
                </c:pt>
                <c:pt idx="1497">
                  <c:v>-0.27154230477739044</c:v>
                </c:pt>
                <c:pt idx="1498">
                  <c:v>-0.28266444074402997</c:v>
                </c:pt>
                <c:pt idx="1499">
                  <c:v>-0.29038460342173128</c:v>
                </c:pt>
                <c:pt idx="1500">
                  <c:v>-0.2946201508583759</c:v>
                </c:pt>
                <c:pt idx="1501">
                  <c:v>-0.2953302564847205</c:v>
                </c:pt>
                <c:pt idx="1502">
                  <c:v>-0.29248639903325152</c:v>
                </c:pt>
                <c:pt idx="1503">
                  <c:v>-0.28613270479337527</c:v>
                </c:pt>
                <c:pt idx="1504">
                  <c:v>-0.27635541809598735</c:v>
                </c:pt>
                <c:pt idx="1505">
                  <c:v>-0.26325186638144393</c:v>
                </c:pt>
                <c:pt idx="1506">
                  <c:v>-0.24698929227032423</c:v>
                </c:pt>
                <c:pt idx="1507">
                  <c:v>-0.22777284665196662</c:v>
                </c:pt>
                <c:pt idx="1508">
                  <c:v>-0.20581312687377276</c:v>
                </c:pt>
                <c:pt idx="1509">
                  <c:v>-0.18138364957310041</c:v>
                </c:pt>
                <c:pt idx="1510">
                  <c:v>-0.15478756847754799</c:v>
                </c:pt>
                <c:pt idx="1511">
                  <c:v>-0.12632403656027383</c:v>
                </c:pt>
                <c:pt idx="1512">
                  <c:v>-9.6344616204265723E-2</c:v>
                </c:pt>
                <c:pt idx="1513">
                  <c:v>-6.5219060453810832E-2</c:v>
                </c:pt>
                <c:pt idx="1514">
                  <c:v>-3.3300875977909969E-2</c:v>
                </c:pt>
                <c:pt idx="1515">
                  <c:v>-9.8308099027381423E-4</c:v>
                </c:pt>
                <c:pt idx="1516">
                  <c:v>3.1336510969245293E-2</c:v>
                </c:pt>
                <c:pt idx="1517">
                  <c:v>6.3290064797133713E-2</c:v>
                </c:pt>
                <c:pt idx="1518">
                  <c:v>9.4484137847456254E-2</c:v>
                </c:pt>
                <c:pt idx="1519">
                  <c:v>0.12453440124361161</c:v>
                </c:pt>
                <c:pt idx="1520">
                  <c:v>0.15310025182483852</c:v>
                </c:pt>
                <c:pt idx="1521">
                  <c:v>0.17982889938417382</c:v>
                </c:pt>
                <c:pt idx="1522">
                  <c:v>0.20438960015089352</c:v>
                </c:pt>
                <c:pt idx="1523">
                  <c:v>0.22650762571580893</c:v>
                </c:pt>
                <c:pt idx="1524">
                  <c:v>0.24590755977212367</c:v>
                </c:pt>
                <c:pt idx="1525">
                  <c:v>0.2623466031111783</c:v>
                </c:pt>
                <c:pt idx="1526">
                  <c:v>0.27564748721291016</c:v>
                </c:pt>
                <c:pt idx="1527">
                  <c:v>0.28564060146806824</c:v>
                </c:pt>
                <c:pt idx="1528">
                  <c:v>0.29219602850561605</c:v>
                </c:pt>
                <c:pt idx="1529">
                  <c:v>0.29525510320110249</c:v>
                </c:pt>
                <c:pt idx="1530">
                  <c:v>0.29477111665816758</c:v>
                </c:pt>
                <c:pt idx="1531">
                  <c:v>0.29073987671534518</c:v>
                </c:pt>
                <c:pt idx="1532">
                  <c:v>0.28322975825192681</c:v>
                </c:pt>
                <c:pt idx="1533">
                  <c:v>0.27231088268949832</c:v>
                </c:pt>
                <c:pt idx="1534">
                  <c:v>0.25813427653478133</c:v>
                </c:pt>
                <c:pt idx="1535">
                  <c:v>0.2408600590616595</c:v>
                </c:pt>
                <c:pt idx="1536">
                  <c:v>0.22068552087978935</c:v>
                </c:pt>
                <c:pt idx="1537">
                  <c:v>0.19787275644736263</c:v>
                </c:pt>
                <c:pt idx="1538">
                  <c:v>0.17268551893757011</c:v>
                </c:pt>
                <c:pt idx="1539">
                  <c:v>0.14541605520052903</c:v>
                </c:pt>
                <c:pt idx="1540">
                  <c:v>0.11641159880107693</c:v>
                </c:pt>
                <c:pt idx="1541">
                  <c:v>8.601020321601234E-2</c:v>
                </c:pt>
                <c:pt idx="1542">
                  <c:v>5.4566685192358015E-2</c:v>
                </c:pt>
                <c:pt idx="1543">
                  <c:v>2.2478366946395101E-2</c:v>
                </c:pt>
                <c:pt idx="1544">
                  <c:v>-9.879691702925587E-3</c:v>
                </c:pt>
                <c:pt idx="1545">
                  <c:v>-4.2129194051811848E-2</c:v>
                </c:pt>
                <c:pt idx="1546">
                  <c:v>-7.3863146072073241E-2</c:v>
                </c:pt>
                <c:pt idx="1547">
                  <c:v>-0.10471074033947336</c:v>
                </c:pt>
                <c:pt idx="1548">
                  <c:v>-0.1343118057227973</c:v>
                </c:pt>
                <c:pt idx="1549">
                  <c:v>-0.16229112943745266</c:v>
                </c:pt>
                <c:pt idx="1550">
                  <c:v>-0.18832295959885165</c:v>
                </c:pt>
                <c:pt idx="1551">
                  <c:v>-0.21210491424507227</c:v>
                </c:pt>
                <c:pt idx="1552">
                  <c:v>-0.23333160992034321</c:v>
                </c:pt>
                <c:pt idx="1553">
                  <c:v>-0.25175832627657035</c:v>
                </c:pt>
                <c:pt idx="1554">
                  <c:v>-0.26717394271748818</c:v>
                </c:pt>
                <c:pt idx="1555">
                  <c:v>-0.27937347184578409</c:v>
                </c:pt>
                <c:pt idx="1556">
                  <c:v>-0.28822051931194115</c:v>
                </c:pt>
                <c:pt idx="1557">
                  <c:v>-0.2936189205463447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D1-430B-A3D9-DFB5819845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5430568"/>
        <c:axId val="595423352"/>
      </c:scatterChart>
      <c:valAx>
        <c:axId val="595430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GH"/>
          </a:p>
        </c:txPr>
        <c:crossAx val="595423352"/>
        <c:crosses val="autoZero"/>
        <c:crossBetween val="midCat"/>
      </c:valAx>
      <c:valAx>
        <c:axId val="595423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GH"/>
          </a:p>
        </c:txPr>
        <c:crossAx val="5954305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GH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'EL CENTRO '!$A$3:$A$1562</c:f>
              <c:numCache>
                <c:formatCode>General</c:formatCode>
                <c:ptCount val="1560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  <c:pt idx="51">
                  <c:v>1.02</c:v>
                </c:pt>
                <c:pt idx="52">
                  <c:v>1.04</c:v>
                </c:pt>
                <c:pt idx="53">
                  <c:v>1.06</c:v>
                </c:pt>
                <c:pt idx="54">
                  <c:v>1.08</c:v>
                </c:pt>
                <c:pt idx="55">
                  <c:v>1.1000000000000001</c:v>
                </c:pt>
                <c:pt idx="56">
                  <c:v>1.1200000000000001</c:v>
                </c:pt>
                <c:pt idx="57">
                  <c:v>1.1399999999999999</c:v>
                </c:pt>
                <c:pt idx="58">
                  <c:v>1.1599999999999999</c:v>
                </c:pt>
                <c:pt idx="59">
                  <c:v>1.18</c:v>
                </c:pt>
                <c:pt idx="60">
                  <c:v>1.2</c:v>
                </c:pt>
                <c:pt idx="61">
                  <c:v>1.22</c:v>
                </c:pt>
                <c:pt idx="62">
                  <c:v>1.24</c:v>
                </c:pt>
                <c:pt idx="63">
                  <c:v>1.26</c:v>
                </c:pt>
                <c:pt idx="64">
                  <c:v>1.28</c:v>
                </c:pt>
                <c:pt idx="65">
                  <c:v>1.3</c:v>
                </c:pt>
                <c:pt idx="66">
                  <c:v>1.32</c:v>
                </c:pt>
                <c:pt idx="67">
                  <c:v>1.34</c:v>
                </c:pt>
                <c:pt idx="68">
                  <c:v>1.36</c:v>
                </c:pt>
                <c:pt idx="69">
                  <c:v>1.38</c:v>
                </c:pt>
                <c:pt idx="70">
                  <c:v>1.4</c:v>
                </c:pt>
                <c:pt idx="71">
                  <c:v>1.42</c:v>
                </c:pt>
                <c:pt idx="72">
                  <c:v>1.44</c:v>
                </c:pt>
                <c:pt idx="73">
                  <c:v>1.46</c:v>
                </c:pt>
                <c:pt idx="74">
                  <c:v>1.48</c:v>
                </c:pt>
                <c:pt idx="75">
                  <c:v>1.5</c:v>
                </c:pt>
                <c:pt idx="76">
                  <c:v>1.52</c:v>
                </c:pt>
                <c:pt idx="77">
                  <c:v>1.54</c:v>
                </c:pt>
                <c:pt idx="78">
                  <c:v>1.56</c:v>
                </c:pt>
                <c:pt idx="79">
                  <c:v>1.58</c:v>
                </c:pt>
                <c:pt idx="80">
                  <c:v>1.6</c:v>
                </c:pt>
                <c:pt idx="81">
                  <c:v>1.62</c:v>
                </c:pt>
                <c:pt idx="82">
                  <c:v>1.64</c:v>
                </c:pt>
                <c:pt idx="83">
                  <c:v>1.66</c:v>
                </c:pt>
                <c:pt idx="84">
                  <c:v>1.68</c:v>
                </c:pt>
                <c:pt idx="85">
                  <c:v>1.7</c:v>
                </c:pt>
                <c:pt idx="86">
                  <c:v>1.72</c:v>
                </c:pt>
                <c:pt idx="87">
                  <c:v>1.74</c:v>
                </c:pt>
                <c:pt idx="88">
                  <c:v>1.76</c:v>
                </c:pt>
                <c:pt idx="89">
                  <c:v>1.78</c:v>
                </c:pt>
                <c:pt idx="90">
                  <c:v>1.8</c:v>
                </c:pt>
                <c:pt idx="91">
                  <c:v>1.82</c:v>
                </c:pt>
                <c:pt idx="92">
                  <c:v>1.84</c:v>
                </c:pt>
                <c:pt idx="93">
                  <c:v>1.86</c:v>
                </c:pt>
                <c:pt idx="94">
                  <c:v>1.88</c:v>
                </c:pt>
                <c:pt idx="95">
                  <c:v>1.9</c:v>
                </c:pt>
                <c:pt idx="96">
                  <c:v>1.92</c:v>
                </c:pt>
                <c:pt idx="97">
                  <c:v>1.94</c:v>
                </c:pt>
                <c:pt idx="98">
                  <c:v>1.96</c:v>
                </c:pt>
                <c:pt idx="99">
                  <c:v>1.98</c:v>
                </c:pt>
                <c:pt idx="100">
                  <c:v>2</c:v>
                </c:pt>
                <c:pt idx="101">
                  <c:v>2.02</c:v>
                </c:pt>
                <c:pt idx="102">
                  <c:v>2.04</c:v>
                </c:pt>
                <c:pt idx="103">
                  <c:v>2.06</c:v>
                </c:pt>
                <c:pt idx="104">
                  <c:v>2.08</c:v>
                </c:pt>
                <c:pt idx="105">
                  <c:v>2.1</c:v>
                </c:pt>
                <c:pt idx="106">
                  <c:v>2.12</c:v>
                </c:pt>
                <c:pt idx="107">
                  <c:v>2.14</c:v>
                </c:pt>
                <c:pt idx="108">
                  <c:v>2.16</c:v>
                </c:pt>
                <c:pt idx="109">
                  <c:v>2.1800000000000002</c:v>
                </c:pt>
                <c:pt idx="110">
                  <c:v>2.2000000000000002</c:v>
                </c:pt>
                <c:pt idx="111">
                  <c:v>2.2200000000000002</c:v>
                </c:pt>
                <c:pt idx="112">
                  <c:v>2.2400000000000002</c:v>
                </c:pt>
                <c:pt idx="113">
                  <c:v>2.2599999999999998</c:v>
                </c:pt>
                <c:pt idx="114">
                  <c:v>2.2799999999999998</c:v>
                </c:pt>
                <c:pt idx="115">
                  <c:v>2.2999999999999998</c:v>
                </c:pt>
                <c:pt idx="116">
                  <c:v>2.3199999999999998</c:v>
                </c:pt>
                <c:pt idx="117">
                  <c:v>2.34</c:v>
                </c:pt>
                <c:pt idx="118">
                  <c:v>2.36</c:v>
                </c:pt>
                <c:pt idx="119">
                  <c:v>2.38</c:v>
                </c:pt>
                <c:pt idx="120">
                  <c:v>2.4</c:v>
                </c:pt>
                <c:pt idx="121">
                  <c:v>2.42</c:v>
                </c:pt>
                <c:pt idx="122">
                  <c:v>2.44</c:v>
                </c:pt>
                <c:pt idx="123">
                  <c:v>2.46</c:v>
                </c:pt>
                <c:pt idx="124">
                  <c:v>2.48</c:v>
                </c:pt>
                <c:pt idx="125">
                  <c:v>2.5</c:v>
                </c:pt>
                <c:pt idx="126">
                  <c:v>2.52</c:v>
                </c:pt>
                <c:pt idx="127">
                  <c:v>2.54</c:v>
                </c:pt>
                <c:pt idx="128">
                  <c:v>2.56</c:v>
                </c:pt>
                <c:pt idx="129">
                  <c:v>2.58</c:v>
                </c:pt>
                <c:pt idx="130">
                  <c:v>2.6</c:v>
                </c:pt>
                <c:pt idx="131">
                  <c:v>2.62</c:v>
                </c:pt>
                <c:pt idx="132">
                  <c:v>2.64</c:v>
                </c:pt>
                <c:pt idx="133">
                  <c:v>2.66</c:v>
                </c:pt>
                <c:pt idx="134">
                  <c:v>2.68</c:v>
                </c:pt>
                <c:pt idx="135">
                  <c:v>2.7</c:v>
                </c:pt>
                <c:pt idx="136">
                  <c:v>2.72</c:v>
                </c:pt>
                <c:pt idx="137">
                  <c:v>2.74</c:v>
                </c:pt>
                <c:pt idx="138">
                  <c:v>2.76</c:v>
                </c:pt>
                <c:pt idx="139">
                  <c:v>2.78</c:v>
                </c:pt>
                <c:pt idx="140">
                  <c:v>2.8</c:v>
                </c:pt>
                <c:pt idx="141">
                  <c:v>2.82</c:v>
                </c:pt>
                <c:pt idx="142">
                  <c:v>2.84</c:v>
                </c:pt>
                <c:pt idx="143">
                  <c:v>2.86</c:v>
                </c:pt>
                <c:pt idx="144">
                  <c:v>2.88</c:v>
                </c:pt>
                <c:pt idx="145">
                  <c:v>2.9</c:v>
                </c:pt>
                <c:pt idx="146">
                  <c:v>2.92</c:v>
                </c:pt>
                <c:pt idx="147">
                  <c:v>2.94</c:v>
                </c:pt>
                <c:pt idx="148">
                  <c:v>2.96</c:v>
                </c:pt>
                <c:pt idx="149">
                  <c:v>2.98</c:v>
                </c:pt>
                <c:pt idx="150">
                  <c:v>3</c:v>
                </c:pt>
                <c:pt idx="151">
                  <c:v>3.02</c:v>
                </c:pt>
                <c:pt idx="152">
                  <c:v>3.04</c:v>
                </c:pt>
                <c:pt idx="153">
                  <c:v>3.06</c:v>
                </c:pt>
                <c:pt idx="154">
                  <c:v>3.08</c:v>
                </c:pt>
                <c:pt idx="155">
                  <c:v>3.1</c:v>
                </c:pt>
                <c:pt idx="156">
                  <c:v>3.12</c:v>
                </c:pt>
                <c:pt idx="157">
                  <c:v>3.14</c:v>
                </c:pt>
                <c:pt idx="158">
                  <c:v>3.16</c:v>
                </c:pt>
                <c:pt idx="159">
                  <c:v>3.18</c:v>
                </c:pt>
                <c:pt idx="160">
                  <c:v>3.2</c:v>
                </c:pt>
                <c:pt idx="161">
                  <c:v>3.22</c:v>
                </c:pt>
                <c:pt idx="162">
                  <c:v>3.24</c:v>
                </c:pt>
                <c:pt idx="163">
                  <c:v>3.26</c:v>
                </c:pt>
                <c:pt idx="164">
                  <c:v>3.28</c:v>
                </c:pt>
                <c:pt idx="165">
                  <c:v>3.3</c:v>
                </c:pt>
                <c:pt idx="166">
                  <c:v>3.32</c:v>
                </c:pt>
                <c:pt idx="167">
                  <c:v>3.34</c:v>
                </c:pt>
                <c:pt idx="168">
                  <c:v>3.36</c:v>
                </c:pt>
                <c:pt idx="169">
                  <c:v>3.38</c:v>
                </c:pt>
                <c:pt idx="170">
                  <c:v>3.4</c:v>
                </c:pt>
                <c:pt idx="171">
                  <c:v>3.42</c:v>
                </c:pt>
                <c:pt idx="172">
                  <c:v>3.44</c:v>
                </c:pt>
                <c:pt idx="173">
                  <c:v>3.46</c:v>
                </c:pt>
                <c:pt idx="174">
                  <c:v>3.48</c:v>
                </c:pt>
                <c:pt idx="175">
                  <c:v>3.5</c:v>
                </c:pt>
                <c:pt idx="176">
                  <c:v>3.52</c:v>
                </c:pt>
                <c:pt idx="177">
                  <c:v>3.54</c:v>
                </c:pt>
                <c:pt idx="178">
                  <c:v>3.56</c:v>
                </c:pt>
                <c:pt idx="179">
                  <c:v>3.58</c:v>
                </c:pt>
                <c:pt idx="180">
                  <c:v>3.6</c:v>
                </c:pt>
                <c:pt idx="181">
                  <c:v>3.62</c:v>
                </c:pt>
                <c:pt idx="182">
                  <c:v>3.64</c:v>
                </c:pt>
                <c:pt idx="183">
                  <c:v>3.66</c:v>
                </c:pt>
                <c:pt idx="184">
                  <c:v>3.68</c:v>
                </c:pt>
                <c:pt idx="185">
                  <c:v>3.7</c:v>
                </c:pt>
                <c:pt idx="186">
                  <c:v>3.72</c:v>
                </c:pt>
                <c:pt idx="187">
                  <c:v>3.74</c:v>
                </c:pt>
                <c:pt idx="188">
                  <c:v>3.76</c:v>
                </c:pt>
                <c:pt idx="189">
                  <c:v>3.78</c:v>
                </c:pt>
                <c:pt idx="190">
                  <c:v>3.8</c:v>
                </c:pt>
                <c:pt idx="191">
                  <c:v>3.82</c:v>
                </c:pt>
                <c:pt idx="192">
                  <c:v>3.84</c:v>
                </c:pt>
                <c:pt idx="193">
                  <c:v>3.86</c:v>
                </c:pt>
                <c:pt idx="194">
                  <c:v>3.88</c:v>
                </c:pt>
                <c:pt idx="195">
                  <c:v>3.9</c:v>
                </c:pt>
                <c:pt idx="196">
                  <c:v>3.92</c:v>
                </c:pt>
                <c:pt idx="197">
                  <c:v>3.94</c:v>
                </c:pt>
                <c:pt idx="198">
                  <c:v>3.96</c:v>
                </c:pt>
                <c:pt idx="199">
                  <c:v>3.98</c:v>
                </c:pt>
                <c:pt idx="200">
                  <c:v>4</c:v>
                </c:pt>
                <c:pt idx="201">
                  <c:v>4.0199999999999996</c:v>
                </c:pt>
                <c:pt idx="202">
                  <c:v>4.04</c:v>
                </c:pt>
                <c:pt idx="203">
                  <c:v>4.0599999999999996</c:v>
                </c:pt>
                <c:pt idx="204">
                  <c:v>4.08</c:v>
                </c:pt>
                <c:pt idx="205">
                  <c:v>4.0999999999999996</c:v>
                </c:pt>
                <c:pt idx="206">
                  <c:v>4.12</c:v>
                </c:pt>
                <c:pt idx="207">
                  <c:v>4.1399999999999997</c:v>
                </c:pt>
                <c:pt idx="208">
                  <c:v>4.16</c:v>
                </c:pt>
                <c:pt idx="209">
                  <c:v>4.18</c:v>
                </c:pt>
                <c:pt idx="210">
                  <c:v>4.2</c:v>
                </c:pt>
                <c:pt idx="211">
                  <c:v>4.22</c:v>
                </c:pt>
                <c:pt idx="212">
                  <c:v>4.24</c:v>
                </c:pt>
                <c:pt idx="213">
                  <c:v>4.26</c:v>
                </c:pt>
                <c:pt idx="214">
                  <c:v>4.28</c:v>
                </c:pt>
                <c:pt idx="215">
                  <c:v>4.3</c:v>
                </c:pt>
                <c:pt idx="216">
                  <c:v>4.32</c:v>
                </c:pt>
                <c:pt idx="217">
                  <c:v>4.34</c:v>
                </c:pt>
                <c:pt idx="218">
                  <c:v>4.3600000000000003</c:v>
                </c:pt>
                <c:pt idx="219">
                  <c:v>4.38</c:v>
                </c:pt>
                <c:pt idx="220">
                  <c:v>4.4000000000000004</c:v>
                </c:pt>
                <c:pt idx="221">
                  <c:v>4.42</c:v>
                </c:pt>
                <c:pt idx="222">
                  <c:v>4.4400000000000004</c:v>
                </c:pt>
                <c:pt idx="223">
                  <c:v>4.46</c:v>
                </c:pt>
                <c:pt idx="224">
                  <c:v>4.4800000000000004</c:v>
                </c:pt>
                <c:pt idx="225">
                  <c:v>4.5</c:v>
                </c:pt>
                <c:pt idx="226">
                  <c:v>4.5199999999999996</c:v>
                </c:pt>
                <c:pt idx="227">
                  <c:v>4.54</c:v>
                </c:pt>
                <c:pt idx="228">
                  <c:v>4.5599999999999996</c:v>
                </c:pt>
                <c:pt idx="229">
                  <c:v>4.58</c:v>
                </c:pt>
                <c:pt idx="230">
                  <c:v>4.5999999999999996</c:v>
                </c:pt>
                <c:pt idx="231">
                  <c:v>4.62</c:v>
                </c:pt>
                <c:pt idx="232">
                  <c:v>4.6399999999999997</c:v>
                </c:pt>
                <c:pt idx="233">
                  <c:v>4.66</c:v>
                </c:pt>
                <c:pt idx="234">
                  <c:v>4.68</c:v>
                </c:pt>
                <c:pt idx="235">
                  <c:v>4.7</c:v>
                </c:pt>
                <c:pt idx="236">
                  <c:v>4.72</c:v>
                </c:pt>
                <c:pt idx="237">
                  <c:v>4.74</c:v>
                </c:pt>
                <c:pt idx="238">
                  <c:v>4.76</c:v>
                </c:pt>
                <c:pt idx="239">
                  <c:v>4.78</c:v>
                </c:pt>
                <c:pt idx="240">
                  <c:v>4.8</c:v>
                </c:pt>
                <c:pt idx="241">
                  <c:v>4.82</c:v>
                </c:pt>
                <c:pt idx="242">
                  <c:v>4.84</c:v>
                </c:pt>
                <c:pt idx="243">
                  <c:v>4.8600000000000003</c:v>
                </c:pt>
                <c:pt idx="244">
                  <c:v>4.88</c:v>
                </c:pt>
                <c:pt idx="245">
                  <c:v>4.9000000000000004</c:v>
                </c:pt>
                <c:pt idx="246">
                  <c:v>4.92</c:v>
                </c:pt>
                <c:pt idx="247">
                  <c:v>4.9400000000000004</c:v>
                </c:pt>
                <c:pt idx="248">
                  <c:v>4.96</c:v>
                </c:pt>
                <c:pt idx="249">
                  <c:v>4.9800000000000004</c:v>
                </c:pt>
                <c:pt idx="250">
                  <c:v>5</c:v>
                </c:pt>
                <c:pt idx="251">
                  <c:v>5.0199999999999996</c:v>
                </c:pt>
                <c:pt idx="252">
                  <c:v>5.04</c:v>
                </c:pt>
                <c:pt idx="253">
                  <c:v>5.0599999999999996</c:v>
                </c:pt>
                <c:pt idx="254">
                  <c:v>5.08</c:v>
                </c:pt>
                <c:pt idx="255">
                  <c:v>5.0999999999999996</c:v>
                </c:pt>
                <c:pt idx="256">
                  <c:v>5.12</c:v>
                </c:pt>
                <c:pt idx="257">
                  <c:v>5.14</c:v>
                </c:pt>
                <c:pt idx="258">
                  <c:v>5.16</c:v>
                </c:pt>
                <c:pt idx="259">
                  <c:v>5.18</c:v>
                </c:pt>
                <c:pt idx="260">
                  <c:v>5.2</c:v>
                </c:pt>
                <c:pt idx="261">
                  <c:v>5.22</c:v>
                </c:pt>
                <c:pt idx="262">
                  <c:v>5.24</c:v>
                </c:pt>
                <c:pt idx="263">
                  <c:v>5.26</c:v>
                </c:pt>
                <c:pt idx="264">
                  <c:v>5.28</c:v>
                </c:pt>
                <c:pt idx="265">
                  <c:v>5.3</c:v>
                </c:pt>
                <c:pt idx="266">
                  <c:v>5.32</c:v>
                </c:pt>
                <c:pt idx="267">
                  <c:v>5.34</c:v>
                </c:pt>
                <c:pt idx="268">
                  <c:v>5.36</c:v>
                </c:pt>
                <c:pt idx="269">
                  <c:v>5.38</c:v>
                </c:pt>
                <c:pt idx="270">
                  <c:v>5.4</c:v>
                </c:pt>
                <c:pt idx="271">
                  <c:v>5.42</c:v>
                </c:pt>
                <c:pt idx="272">
                  <c:v>5.44</c:v>
                </c:pt>
                <c:pt idx="273">
                  <c:v>5.46</c:v>
                </c:pt>
                <c:pt idx="274">
                  <c:v>5.48</c:v>
                </c:pt>
                <c:pt idx="275">
                  <c:v>5.5</c:v>
                </c:pt>
                <c:pt idx="276">
                  <c:v>5.52</c:v>
                </c:pt>
                <c:pt idx="277">
                  <c:v>5.54</c:v>
                </c:pt>
                <c:pt idx="278">
                  <c:v>5.56</c:v>
                </c:pt>
                <c:pt idx="279">
                  <c:v>5.58</c:v>
                </c:pt>
                <c:pt idx="280">
                  <c:v>5.6</c:v>
                </c:pt>
                <c:pt idx="281">
                  <c:v>5.62</c:v>
                </c:pt>
                <c:pt idx="282">
                  <c:v>5.64</c:v>
                </c:pt>
                <c:pt idx="283">
                  <c:v>5.66</c:v>
                </c:pt>
                <c:pt idx="284">
                  <c:v>5.68</c:v>
                </c:pt>
                <c:pt idx="285">
                  <c:v>5.7</c:v>
                </c:pt>
                <c:pt idx="286">
                  <c:v>5.72</c:v>
                </c:pt>
                <c:pt idx="287">
                  <c:v>5.74</c:v>
                </c:pt>
                <c:pt idx="288">
                  <c:v>5.76</c:v>
                </c:pt>
                <c:pt idx="289">
                  <c:v>5.78</c:v>
                </c:pt>
                <c:pt idx="290">
                  <c:v>5.8</c:v>
                </c:pt>
                <c:pt idx="291">
                  <c:v>5.82</c:v>
                </c:pt>
                <c:pt idx="292">
                  <c:v>5.84</c:v>
                </c:pt>
                <c:pt idx="293">
                  <c:v>5.86</c:v>
                </c:pt>
                <c:pt idx="294">
                  <c:v>5.88</c:v>
                </c:pt>
                <c:pt idx="295">
                  <c:v>5.9</c:v>
                </c:pt>
                <c:pt idx="296">
                  <c:v>5.92</c:v>
                </c:pt>
                <c:pt idx="297">
                  <c:v>5.94</c:v>
                </c:pt>
                <c:pt idx="298">
                  <c:v>5.96</c:v>
                </c:pt>
                <c:pt idx="299">
                  <c:v>5.98</c:v>
                </c:pt>
                <c:pt idx="300">
                  <c:v>6</c:v>
                </c:pt>
                <c:pt idx="301">
                  <c:v>6.02</c:v>
                </c:pt>
                <c:pt idx="302">
                  <c:v>6.04</c:v>
                </c:pt>
                <c:pt idx="303">
                  <c:v>6.06</c:v>
                </c:pt>
                <c:pt idx="304">
                  <c:v>6.08</c:v>
                </c:pt>
                <c:pt idx="305">
                  <c:v>6.1</c:v>
                </c:pt>
                <c:pt idx="306">
                  <c:v>6.12</c:v>
                </c:pt>
                <c:pt idx="307">
                  <c:v>6.14</c:v>
                </c:pt>
                <c:pt idx="308">
                  <c:v>6.16</c:v>
                </c:pt>
                <c:pt idx="309">
                  <c:v>6.18</c:v>
                </c:pt>
                <c:pt idx="310">
                  <c:v>6.2</c:v>
                </c:pt>
                <c:pt idx="311">
                  <c:v>6.22</c:v>
                </c:pt>
                <c:pt idx="312">
                  <c:v>6.24</c:v>
                </c:pt>
                <c:pt idx="313">
                  <c:v>6.26</c:v>
                </c:pt>
                <c:pt idx="314">
                  <c:v>6.28</c:v>
                </c:pt>
                <c:pt idx="315">
                  <c:v>6.3</c:v>
                </c:pt>
                <c:pt idx="316">
                  <c:v>6.32</c:v>
                </c:pt>
                <c:pt idx="317">
                  <c:v>6.34</c:v>
                </c:pt>
                <c:pt idx="318">
                  <c:v>6.36</c:v>
                </c:pt>
                <c:pt idx="319">
                  <c:v>6.38</c:v>
                </c:pt>
                <c:pt idx="320">
                  <c:v>6.4</c:v>
                </c:pt>
                <c:pt idx="321">
                  <c:v>6.42</c:v>
                </c:pt>
                <c:pt idx="322">
                  <c:v>6.44</c:v>
                </c:pt>
                <c:pt idx="323">
                  <c:v>6.46</c:v>
                </c:pt>
                <c:pt idx="324">
                  <c:v>6.48</c:v>
                </c:pt>
                <c:pt idx="325">
                  <c:v>6.5</c:v>
                </c:pt>
                <c:pt idx="326">
                  <c:v>6.52</c:v>
                </c:pt>
                <c:pt idx="327">
                  <c:v>6.54</c:v>
                </c:pt>
                <c:pt idx="328">
                  <c:v>6.56</c:v>
                </c:pt>
                <c:pt idx="329">
                  <c:v>6.58</c:v>
                </c:pt>
                <c:pt idx="330">
                  <c:v>6.6</c:v>
                </c:pt>
                <c:pt idx="331">
                  <c:v>6.62</c:v>
                </c:pt>
                <c:pt idx="332">
                  <c:v>6.64</c:v>
                </c:pt>
                <c:pt idx="333">
                  <c:v>6.66</c:v>
                </c:pt>
                <c:pt idx="334">
                  <c:v>6.68</c:v>
                </c:pt>
                <c:pt idx="335">
                  <c:v>6.7</c:v>
                </c:pt>
                <c:pt idx="336">
                  <c:v>6.72</c:v>
                </c:pt>
                <c:pt idx="337">
                  <c:v>6.74</c:v>
                </c:pt>
                <c:pt idx="338">
                  <c:v>6.76</c:v>
                </c:pt>
                <c:pt idx="339">
                  <c:v>6.78</c:v>
                </c:pt>
                <c:pt idx="340">
                  <c:v>6.8</c:v>
                </c:pt>
                <c:pt idx="341">
                  <c:v>6.82</c:v>
                </c:pt>
                <c:pt idx="342">
                  <c:v>6.84</c:v>
                </c:pt>
                <c:pt idx="343">
                  <c:v>6.86</c:v>
                </c:pt>
                <c:pt idx="344">
                  <c:v>6.88</c:v>
                </c:pt>
                <c:pt idx="345">
                  <c:v>6.9</c:v>
                </c:pt>
                <c:pt idx="346">
                  <c:v>6.92</c:v>
                </c:pt>
                <c:pt idx="347">
                  <c:v>6.94</c:v>
                </c:pt>
                <c:pt idx="348">
                  <c:v>6.96</c:v>
                </c:pt>
                <c:pt idx="349">
                  <c:v>6.98</c:v>
                </c:pt>
                <c:pt idx="350">
                  <c:v>7</c:v>
                </c:pt>
                <c:pt idx="351">
                  <c:v>7.02</c:v>
                </c:pt>
                <c:pt idx="352">
                  <c:v>7.04</c:v>
                </c:pt>
                <c:pt idx="353">
                  <c:v>7.06</c:v>
                </c:pt>
                <c:pt idx="354">
                  <c:v>7.08</c:v>
                </c:pt>
                <c:pt idx="355">
                  <c:v>7.1</c:v>
                </c:pt>
                <c:pt idx="356">
                  <c:v>7.12</c:v>
                </c:pt>
                <c:pt idx="357">
                  <c:v>7.14</c:v>
                </c:pt>
                <c:pt idx="358">
                  <c:v>7.16</c:v>
                </c:pt>
                <c:pt idx="359">
                  <c:v>7.18</c:v>
                </c:pt>
                <c:pt idx="360">
                  <c:v>7.2</c:v>
                </c:pt>
                <c:pt idx="361">
                  <c:v>7.22</c:v>
                </c:pt>
                <c:pt idx="362">
                  <c:v>7.24</c:v>
                </c:pt>
                <c:pt idx="363">
                  <c:v>7.26</c:v>
                </c:pt>
                <c:pt idx="364">
                  <c:v>7.28</c:v>
                </c:pt>
                <c:pt idx="365">
                  <c:v>7.3</c:v>
                </c:pt>
                <c:pt idx="366">
                  <c:v>7.32</c:v>
                </c:pt>
                <c:pt idx="367">
                  <c:v>7.34</c:v>
                </c:pt>
                <c:pt idx="368">
                  <c:v>7.36</c:v>
                </c:pt>
                <c:pt idx="369">
                  <c:v>7.38</c:v>
                </c:pt>
                <c:pt idx="370">
                  <c:v>7.4</c:v>
                </c:pt>
                <c:pt idx="371">
                  <c:v>7.42</c:v>
                </c:pt>
                <c:pt idx="372">
                  <c:v>7.44</c:v>
                </c:pt>
                <c:pt idx="373">
                  <c:v>7.46</c:v>
                </c:pt>
                <c:pt idx="374">
                  <c:v>7.48</c:v>
                </c:pt>
                <c:pt idx="375">
                  <c:v>7.5</c:v>
                </c:pt>
                <c:pt idx="376">
                  <c:v>7.52</c:v>
                </c:pt>
                <c:pt idx="377">
                  <c:v>7.54</c:v>
                </c:pt>
                <c:pt idx="378">
                  <c:v>7.56</c:v>
                </c:pt>
                <c:pt idx="379">
                  <c:v>7.58</c:v>
                </c:pt>
                <c:pt idx="380">
                  <c:v>7.6</c:v>
                </c:pt>
                <c:pt idx="381">
                  <c:v>7.62</c:v>
                </c:pt>
                <c:pt idx="382">
                  <c:v>7.64</c:v>
                </c:pt>
                <c:pt idx="383">
                  <c:v>7.66</c:v>
                </c:pt>
                <c:pt idx="384">
                  <c:v>7.68</c:v>
                </c:pt>
                <c:pt idx="385">
                  <c:v>7.7</c:v>
                </c:pt>
                <c:pt idx="386">
                  <c:v>7.72</c:v>
                </c:pt>
                <c:pt idx="387">
                  <c:v>7.74</c:v>
                </c:pt>
                <c:pt idx="388">
                  <c:v>7.76</c:v>
                </c:pt>
                <c:pt idx="389">
                  <c:v>7.78</c:v>
                </c:pt>
                <c:pt idx="390">
                  <c:v>7.8</c:v>
                </c:pt>
                <c:pt idx="391">
                  <c:v>7.82</c:v>
                </c:pt>
                <c:pt idx="392">
                  <c:v>7.84</c:v>
                </c:pt>
                <c:pt idx="393">
                  <c:v>7.86</c:v>
                </c:pt>
                <c:pt idx="394">
                  <c:v>7.88</c:v>
                </c:pt>
                <c:pt idx="395">
                  <c:v>7.9</c:v>
                </c:pt>
                <c:pt idx="396">
                  <c:v>7.92</c:v>
                </c:pt>
                <c:pt idx="397">
                  <c:v>7.94</c:v>
                </c:pt>
                <c:pt idx="398">
                  <c:v>7.96</c:v>
                </c:pt>
                <c:pt idx="399">
                  <c:v>7.98</c:v>
                </c:pt>
                <c:pt idx="400">
                  <c:v>8</c:v>
                </c:pt>
                <c:pt idx="401">
                  <c:v>8.02</c:v>
                </c:pt>
                <c:pt idx="402">
                  <c:v>8.0399999999999991</c:v>
                </c:pt>
                <c:pt idx="403">
                  <c:v>8.06</c:v>
                </c:pt>
                <c:pt idx="404">
                  <c:v>8.08</c:v>
                </c:pt>
                <c:pt idx="405">
                  <c:v>8.1</c:v>
                </c:pt>
                <c:pt idx="406">
                  <c:v>8.1199999999999992</c:v>
                </c:pt>
                <c:pt idx="407">
                  <c:v>8.14</c:v>
                </c:pt>
                <c:pt idx="408">
                  <c:v>8.16</c:v>
                </c:pt>
                <c:pt idx="409">
                  <c:v>8.18</c:v>
                </c:pt>
                <c:pt idx="410">
                  <c:v>8.1999999999999993</c:v>
                </c:pt>
                <c:pt idx="411">
                  <c:v>8.2200000000000006</c:v>
                </c:pt>
                <c:pt idx="412">
                  <c:v>8.24</c:v>
                </c:pt>
                <c:pt idx="413">
                  <c:v>8.26</c:v>
                </c:pt>
                <c:pt idx="414">
                  <c:v>8.2799999999999994</c:v>
                </c:pt>
                <c:pt idx="415">
                  <c:v>8.3000000000000007</c:v>
                </c:pt>
                <c:pt idx="416">
                  <c:v>8.32</c:v>
                </c:pt>
                <c:pt idx="417">
                  <c:v>8.34</c:v>
                </c:pt>
                <c:pt idx="418">
                  <c:v>8.36</c:v>
                </c:pt>
                <c:pt idx="419">
                  <c:v>8.3800000000000008</c:v>
                </c:pt>
                <c:pt idx="420">
                  <c:v>8.4</c:v>
                </c:pt>
                <c:pt idx="421">
                  <c:v>8.42</c:v>
                </c:pt>
                <c:pt idx="422">
                  <c:v>8.44</c:v>
                </c:pt>
                <c:pt idx="423">
                  <c:v>8.4600000000000009</c:v>
                </c:pt>
                <c:pt idx="424">
                  <c:v>8.48</c:v>
                </c:pt>
                <c:pt idx="425">
                  <c:v>8.5</c:v>
                </c:pt>
                <c:pt idx="426">
                  <c:v>8.52</c:v>
                </c:pt>
                <c:pt idx="427">
                  <c:v>8.5399999999999991</c:v>
                </c:pt>
                <c:pt idx="428">
                  <c:v>8.56</c:v>
                </c:pt>
                <c:pt idx="429">
                  <c:v>8.58</c:v>
                </c:pt>
                <c:pt idx="430">
                  <c:v>8.6</c:v>
                </c:pt>
                <c:pt idx="431">
                  <c:v>8.6199999999999992</c:v>
                </c:pt>
                <c:pt idx="432">
                  <c:v>8.64</c:v>
                </c:pt>
                <c:pt idx="433">
                  <c:v>8.66</c:v>
                </c:pt>
                <c:pt idx="434">
                  <c:v>8.68</c:v>
                </c:pt>
                <c:pt idx="435">
                  <c:v>8.6999999999999993</c:v>
                </c:pt>
                <c:pt idx="436">
                  <c:v>8.7200000000000006</c:v>
                </c:pt>
                <c:pt idx="437">
                  <c:v>8.74</c:v>
                </c:pt>
                <c:pt idx="438">
                  <c:v>8.76</c:v>
                </c:pt>
                <c:pt idx="439">
                  <c:v>8.7799999999999994</c:v>
                </c:pt>
                <c:pt idx="440">
                  <c:v>8.8000000000000007</c:v>
                </c:pt>
                <c:pt idx="441">
                  <c:v>8.82</c:v>
                </c:pt>
                <c:pt idx="442">
                  <c:v>8.84</c:v>
                </c:pt>
                <c:pt idx="443">
                  <c:v>8.86</c:v>
                </c:pt>
                <c:pt idx="444">
                  <c:v>8.8800000000000008</c:v>
                </c:pt>
                <c:pt idx="445">
                  <c:v>8.9</c:v>
                </c:pt>
                <c:pt idx="446">
                  <c:v>8.92</c:v>
                </c:pt>
                <c:pt idx="447">
                  <c:v>8.94</c:v>
                </c:pt>
                <c:pt idx="448">
                  <c:v>8.9600000000000009</c:v>
                </c:pt>
                <c:pt idx="449">
                  <c:v>8.98</c:v>
                </c:pt>
                <c:pt idx="450">
                  <c:v>9</c:v>
                </c:pt>
                <c:pt idx="451">
                  <c:v>9.02</c:v>
                </c:pt>
                <c:pt idx="452">
                  <c:v>9.0399999999999991</c:v>
                </c:pt>
                <c:pt idx="453">
                  <c:v>9.06</c:v>
                </c:pt>
                <c:pt idx="454">
                  <c:v>9.08</c:v>
                </c:pt>
                <c:pt idx="455">
                  <c:v>9.1</c:v>
                </c:pt>
                <c:pt idx="456">
                  <c:v>9.1199999999999992</c:v>
                </c:pt>
                <c:pt idx="457">
                  <c:v>9.14</c:v>
                </c:pt>
                <c:pt idx="458">
                  <c:v>9.16</c:v>
                </c:pt>
                <c:pt idx="459">
                  <c:v>9.18</c:v>
                </c:pt>
                <c:pt idx="460">
                  <c:v>9.1999999999999993</c:v>
                </c:pt>
                <c:pt idx="461">
                  <c:v>9.2200000000000006</c:v>
                </c:pt>
                <c:pt idx="462">
                  <c:v>9.24</c:v>
                </c:pt>
                <c:pt idx="463">
                  <c:v>9.26</c:v>
                </c:pt>
                <c:pt idx="464">
                  <c:v>9.2799999999999994</c:v>
                </c:pt>
                <c:pt idx="465">
                  <c:v>9.3000000000000007</c:v>
                </c:pt>
                <c:pt idx="466">
                  <c:v>9.32</c:v>
                </c:pt>
                <c:pt idx="467">
                  <c:v>9.34</c:v>
                </c:pt>
                <c:pt idx="468">
                  <c:v>9.36</c:v>
                </c:pt>
                <c:pt idx="469">
                  <c:v>9.3800000000000008</c:v>
                </c:pt>
                <c:pt idx="470">
                  <c:v>9.4</c:v>
                </c:pt>
                <c:pt idx="471">
                  <c:v>9.42</c:v>
                </c:pt>
                <c:pt idx="472">
                  <c:v>9.44</c:v>
                </c:pt>
                <c:pt idx="473">
                  <c:v>9.4600000000000009</c:v>
                </c:pt>
                <c:pt idx="474">
                  <c:v>9.48</c:v>
                </c:pt>
                <c:pt idx="475">
                  <c:v>9.5</c:v>
                </c:pt>
                <c:pt idx="476">
                  <c:v>9.52</c:v>
                </c:pt>
                <c:pt idx="477">
                  <c:v>9.5399999999999991</c:v>
                </c:pt>
                <c:pt idx="478">
                  <c:v>9.56</c:v>
                </c:pt>
                <c:pt idx="479">
                  <c:v>9.58</c:v>
                </c:pt>
                <c:pt idx="480">
                  <c:v>9.6</c:v>
                </c:pt>
                <c:pt idx="481">
                  <c:v>9.6199999999999992</c:v>
                </c:pt>
                <c:pt idx="482">
                  <c:v>9.64</c:v>
                </c:pt>
                <c:pt idx="483">
                  <c:v>9.66</c:v>
                </c:pt>
                <c:pt idx="484">
                  <c:v>9.68</c:v>
                </c:pt>
                <c:pt idx="485">
                  <c:v>9.6999999999999993</c:v>
                </c:pt>
                <c:pt idx="486">
                  <c:v>9.7200000000000006</c:v>
                </c:pt>
                <c:pt idx="487">
                  <c:v>9.74</c:v>
                </c:pt>
                <c:pt idx="488">
                  <c:v>9.76</c:v>
                </c:pt>
                <c:pt idx="489">
                  <c:v>9.7799999999999994</c:v>
                </c:pt>
                <c:pt idx="490">
                  <c:v>9.8000000000000007</c:v>
                </c:pt>
                <c:pt idx="491">
                  <c:v>9.82</c:v>
                </c:pt>
                <c:pt idx="492">
                  <c:v>9.84</c:v>
                </c:pt>
                <c:pt idx="493">
                  <c:v>9.86</c:v>
                </c:pt>
                <c:pt idx="494">
                  <c:v>9.8800000000000008</c:v>
                </c:pt>
                <c:pt idx="495">
                  <c:v>9.9</c:v>
                </c:pt>
                <c:pt idx="496">
                  <c:v>9.92</c:v>
                </c:pt>
                <c:pt idx="497">
                  <c:v>9.94</c:v>
                </c:pt>
                <c:pt idx="498">
                  <c:v>9.9600000000000009</c:v>
                </c:pt>
                <c:pt idx="499">
                  <c:v>9.98</c:v>
                </c:pt>
                <c:pt idx="500">
                  <c:v>10</c:v>
                </c:pt>
                <c:pt idx="501">
                  <c:v>10.02</c:v>
                </c:pt>
                <c:pt idx="502">
                  <c:v>10.039999999999999</c:v>
                </c:pt>
                <c:pt idx="503">
                  <c:v>10.06</c:v>
                </c:pt>
                <c:pt idx="504">
                  <c:v>10.08</c:v>
                </c:pt>
                <c:pt idx="505">
                  <c:v>10.1</c:v>
                </c:pt>
                <c:pt idx="506">
                  <c:v>10.119999999999999</c:v>
                </c:pt>
                <c:pt idx="507">
                  <c:v>10.14</c:v>
                </c:pt>
                <c:pt idx="508">
                  <c:v>10.16</c:v>
                </c:pt>
                <c:pt idx="509">
                  <c:v>10.18</c:v>
                </c:pt>
                <c:pt idx="510">
                  <c:v>10.199999999999999</c:v>
                </c:pt>
                <c:pt idx="511">
                  <c:v>10.220000000000001</c:v>
                </c:pt>
                <c:pt idx="512">
                  <c:v>10.24</c:v>
                </c:pt>
                <c:pt idx="513">
                  <c:v>10.26</c:v>
                </c:pt>
                <c:pt idx="514">
                  <c:v>10.28</c:v>
                </c:pt>
                <c:pt idx="515">
                  <c:v>10.3</c:v>
                </c:pt>
                <c:pt idx="516">
                  <c:v>10.32</c:v>
                </c:pt>
                <c:pt idx="517">
                  <c:v>10.34</c:v>
                </c:pt>
                <c:pt idx="518">
                  <c:v>10.36</c:v>
                </c:pt>
                <c:pt idx="519">
                  <c:v>10.38</c:v>
                </c:pt>
                <c:pt idx="520">
                  <c:v>10.4</c:v>
                </c:pt>
                <c:pt idx="521">
                  <c:v>10.42</c:v>
                </c:pt>
                <c:pt idx="522">
                  <c:v>10.44</c:v>
                </c:pt>
                <c:pt idx="523">
                  <c:v>10.46</c:v>
                </c:pt>
                <c:pt idx="524">
                  <c:v>10.48</c:v>
                </c:pt>
                <c:pt idx="525">
                  <c:v>10.5</c:v>
                </c:pt>
                <c:pt idx="526">
                  <c:v>10.52</c:v>
                </c:pt>
                <c:pt idx="527">
                  <c:v>10.54</c:v>
                </c:pt>
                <c:pt idx="528">
                  <c:v>10.56</c:v>
                </c:pt>
                <c:pt idx="529">
                  <c:v>10.58</c:v>
                </c:pt>
                <c:pt idx="530">
                  <c:v>10.6</c:v>
                </c:pt>
                <c:pt idx="531">
                  <c:v>10.62</c:v>
                </c:pt>
                <c:pt idx="532">
                  <c:v>10.64</c:v>
                </c:pt>
                <c:pt idx="533">
                  <c:v>10.66</c:v>
                </c:pt>
                <c:pt idx="534">
                  <c:v>10.68</c:v>
                </c:pt>
                <c:pt idx="535">
                  <c:v>10.7</c:v>
                </c:pt>
                <c:pt idx="536">
                  <c:v>10.72</c:v>
                </c:pt>
                <c:pt idx="537">
                  <c:v>10.74</c:v>
                </c:pt>
                <c:pt idx="538">
                  <c:v>10.76</c:v>
                </c:pt>
                <c:pt idx="539">
                  <c:v>10.78</c:v>
                </c:pt>
                <c:pt idx="540">
                  <c:v>10.8</c:v>
                </c:pt>
                <c:pt idx="541">
                  <c:v>10.82</c:v>
                </c:pt>
                <c:pt idx="542">
                  <c:v>10.84</c:v>
                </c:pt>
                <c:pt idx="543">
                  <c:v>10.86</c:v>
                </c:pt>
                <c:pt idx="544">
                  <c:v>10.88</c:v>
                </c:pt>
                <c:pt idx="545">
                  <c:v>10.9</c:v>
                </c:pt>
                <c:pt idx="546">
                  <c:v>10.92</c:v>
                </c:pt>
                <c:pt idx="547">
                  <c:v>10.94</c:v>
                </c:pt>
                <c:pt idx="548">
                  <c:v>10.96</c:v>
                </c:pt>
                <c:pt idx="549">
                  <c:v>10.98</c:v>
                </c:pt>
                <c:pt idx="550">
                  <c:v>11</c:v>
                </c:pt>
                <c:pt idx="551">
                  <c:v>11.02</c:v>
                </c:pt>
                <c:pt idx="552">
                  <c:v>11.04</c:v>
                </c:pt>
                <c:pt idx="553">
                  <c:v>11.06</c:v>
                </c:pt>
                <c:pt idx="554">
                  <c:v>11.08</c:v>
                </c:pt>
                <c:pt idx="555">
                  <c:v>11.1</c:v>
                </c:pt>
                <c:pt idx="556">
                  <c:v>11.12</c:v>
                </c:pt>
                <c:pt idx="557">
                  <c:v>11.14</c:v>
                </c:pt>
                <c:pt idx="558">
                  <c:v>11.16</c:v>
                </c:pt>
                <c:pt idx="559">
                  <c:v>11.18</c:v>
                </c:pt>
                <c:pt idx="560">
                  <c:v>11.2</c:v>
                </c:pt>
                <c:pt idx="561">
                  <c:v>11.22</c:v>
                </c:pt>
                <c:pt idx="562">
                  <c:v>11.24</c:v>
                </c:pt>
                <c:pt idx="563">
                  <c:v>11.26</c:v>
                </c:pt>
                <c:pt idx="564">
                  <c:v>11.28</c:v>
                </c:pt>
                <c:pt idx="565">
                  <c:v>11.3</c:v>
                </c:pt>
                <c:pt idx="566">
                  <c:v>11.32</c:v>
                </c:pt>
                <c:pt idx="567">
                  <c:v>11.34</c:v>
                </c:pt>
                <c:pt idx="568">
                  <c:v>11.36</c:v>
                </c:pt>
                <c:pt idx="569">
                  <c:v>11.38</c:v>
                </c:pt>
                <c:pt idx="570">
                  <c:v>11.4</c:v>
                </c:pt>
                <c:pt idx="571">
                  <c:v>11.42</c:v>
                </c:pt>
                <c:pt idx="572">
                  <c:v>11.44</c:v>
                </c:pt>
                <c:pt idx="573">
                  <c:v>11.46</c:v>
                </c:pt>
                <c:pt idx="574">
                  <c:v>11.48</c:v>
                </c:pt>
                <c:pt idx="575">
                  <c:v>11.5</c:v>
                </c:pt>
                <c:pt idx="576">
                  <c:v>11.52</c:v>
                </c:pt>
                <c:pt idx="577">
                  <c:v>11.54</c:v>
                </c:pt>
                <c:pt idx="578">
                  <c:v>11.56</c:v>
                </c:pt>
                <c:pt idx="579">
                  <c:v>11.58</c:v>
                </c:pt>
                <c:pt idx="580">
                  <c:v>11.6</c:v>
                </c:pt>
                <c:pt idx="581">
                  <c:v>11.62</c:v>
                </c:pt>
                <c:pt idx="582">
                  <c:v>11.64</c:v>
                </c:pt>
                <c:pt idx="583">
                  <c:v>11.66</c:v>
                </c:pt>
                <c:pt idx="584">
                  <c:v>11.68</c:v>
                </c:pt>
                <c:pt idx="585">
                  <c:v>11.7</c:v>
                </c:pt>
                <c:pt idx="586">
                  <c:v>11.72</c:v>
                </c:pt>
                <c:pt idx="587">
                  <c:v>11.74</c:v>
                </c:pt>
                <c:pt idx="588">
                  <c:v>11.76</c:v>
                </c:pt>
                <c:pt idx="589">
                  <c:v>11.78</c:v>
                </c:pt>
                <c:pt idx="590">
                  <c:v>11.8</c:v>
                </c:pt>
                <c:pt idx="591">
                  <c:v>11.82</c:v>
                </c:pt>
                <c:pt idx="592">
                  <c:v>11.84</c:v>
                </c:pt>
                <c:pt idx="593">
                  <c:v>11.86</c:v>
                </c:pt>
                <c:pt idx="594">
                  <c:v>11.88</c:v>
                </c:pt>
                <c:pt idx="595">
                  <c:v>11.9</c:v>
                </c:pt>
                <c:pt idx="596">
                  <c:v>11.92</c:v>
                </c:pt>
                <c:pt idx="597">
                  <c:v>11.94</c:v>
                </c:pt>
                <c:pt idx="598">
                  <c:v>11.96</c:v>
                </c:pt>
                <c:pt idx="599">
                  <c:v>11.98</c:v>
                </c:pt>
                <c:pt idx="600">
                  <c:v>12</c:v>
                </c:pt>
                <c:pt idx="601">
                  <c:v>12.02</c:v>
                </c:pt>
                <c:pt idx="602">
                  <c:v>12.04</c:v>
                </c:pt>
                <c:pt idx="603">
                  <c:v>12.06</c:v>
                </c:pt>
                <c:pt idx="604">
                  <c:v>12.08</c:v>
                </c:pt>
                <c:pt idx="605">
                  <c:v>12.1</c:v>
                </c:pt>
                <c:pt idx="606">
                  <c:v>12.12</c:v>
                </c:pt>
                <c:pt idx="607">
                  <c:v>12.14</c:v>
                </c:pt>
                <c:pt idx="608">
                  <c:v>12.16</c:v>
                </c:pt>
                <c:pt idx="609">
                  <c:v>12.18</c:v>
                </c:pt>
                <c:pt idx="610">
                  <c:v>12.2</c:v>
                </c:pt>
                <c:pt idx="611">
                  <c:v>12.22</c:v>
                </c:pt>
                <c:pt idx="612">
                  <c:v>12.24</c:v>
                </c:pt>
                <c:pt idx="613">
                  <c:v>12.26</c:v>
                </c:pt>
                <c:pt idx="614">
                  <c:v>12.28</c:v>
                </c:pt>
                <c:pt idx="615">
                  <c:v>12.3</c:v>
                </c:pt>
                <c:pt idx="616">
                  <c:v>12.32</c:v>
                </c:pt>
                <c:pt idx="617">
                  <c:v>12.34</c:v>
                </c:pt>
                <c:pt idx="618">
                  <c:v>12.36</c:v>
                </c:pt>
                <c:pt idx="619">
                  <c:v>12.38</c:v>
                </c:pt>
                <c:pt idx="620">
                  <c:v>12.4</c:v>
                </c:pt>
                <c:pt idx="621">
                  <c:v>12.42</c:v>
                </c:pt>
                <c:pt idx="622">
                  <c:v>12.44</c:v>
                </c:pt>
                <c:pt idx="623">
                  <c:v>12.46</c:v>
                </c:pt>
                <c:pt idx="624">
                  <c:v>12.48</c:v>
                </c:pt>
                <c:pt idx="625">
                  <c:v>12.5</c:v>
                </c:pt>
                <c:pt idx="626">
                  <c:v>12.52</c:v>
                </c:pt>
                <c:pt idx="627">
                  <c:v>12.54</c:v>
                </c:pt>
                <c:pt idx="628">
                  <c:v>12.56</c:v>
                </c:pt>
                <c:pt idx="629">
                  <c:v>12.58</c:v>
                </c:pt>
                <c:pt idx="630">
                  <c:v>12.6</c:v>
                </c:pt>
                <c:pt idx="631">
                  <c:v>12.62</c:v>
                </c:pt>
                <c:pt idx="632">
                  <c:v>12.64</c:v>
                </c:pt>
                <c:pt idx="633">
                  <c:v>12.66</c:v>
                </c:pt>
                <c:pt idx="634">
                  <c:v>12.68</c:v>
                </c:pt>
                <c:pt idx="635">
                  <c:v>12.7</c:v>
                </c:pt>
                <c:pt idx="636">
                  <c:v>12.72</c:v>
                </c:pt>
                <c:pt idx="637">
                  <c:v>12.74</c:v>
                </c:pt>
                <c:pt idx="638">
                  <c:v>12.76</c:v>
                </c:pt>
                <c:pt idx="639">
                  <c:v>12.78</c:v>
                </c:pt>
                <c:pt idx="640">
                  <c:v>12.8</c:v>
                </c:pt>
                <c:pt idx="641">
                  <c:v>12.82</c:v>
                </c:pt>
                <c:pt idx="642">
                  <c:v>12.84</c:v>
                </c:pt>
                <c:pt idx="643">
                  <c:v>12.86</c:v>
                </c:pt>
                <c:pt idx="644">
                  <c:v>12.88</c:v>
                </c:pt>
                <c:pt idx="645">
                  <c:v>12.9</c:v>
                </c:pt>
                <c:pt idx="646">
                  <c:v>12.92</c:v>
                </c:pt>
                <c:pt idx="647">
                  <c:v>12.94</c:v>
                </c:pt>
                <c:pt idx="648">
                  <c:v>12.96</c:v>
                </c:pt>
                <c:pt idx="649">
                  <c:v>12.98</c:v>
                </c:pt>
                <c:pt idx="650">
                  <c:v>13</c:v>
                </c:pt>
                <c:pt idx="651">
                  <c:v>13.02</c:v>
                </c:pt>
                <c:pt idx="652">
                  <c:v>13.04</c:v>
                </c:pt>
                <c:pt idx="653">
                  <c:v>13.06</c:v>
                </c:pt>
                <c:pt idx="654">
                  <c:v>13.08</c:v>
                </c:pt>
                <c:pt idx="655">
                  <c:v>13.1</c:v>
                </c:pt>
                <c:pt idx="656">
                  <c:v>13.12</c:v>
                </c:pt>
                <c:pt idx="657">
                  <c:v>13.14</c:v>
                </c:pt>
                <c:pt idx="658">
                  <c:v>13.16</c:v>
                </c:pt>
                <c:pt idx="659">
                  <c:v>13.18</c:v>
                </c:pt>
                <c:pt idx="660">
                  <c:v>13.2</c:v>
                </c:pt>
                <c:pt idx="661">
                  <c:v>13.22</c:v>
                </c:pt>
                <c:pt idx="662">
                  <c:v>13.24</c:v>
                </c:pt>
                <c:pt idx="663">
                  <c:v>13.26</c:v>
                </c:pt>
                <c:pt idx="664">
                  <c:v>13.28</c:v>
                </c:pt>
                <c:pt idx="665">
                  <c:v>13.3</c:v>
                </c:pt>
                <c:pt idx="666">
                  <c:v>13.32</c:v>
                </c:pt>
                <c:pt idx="667">
                  <c:v>13.34</c:v>
                </c:pt>
                <c:pt idx="668">
                  <c:v>13.36</c:v>
                </c:pt>
                <c:pt idx="669">
                  <c:v>13.38</c:v>
                </c:pt>
                <c:pt idx="670">
                  <c:v>13.4</c:v>
                </c:pt>
                <c:pt idx="671">
                  <c:v>13.42</c:v>
                </c:pt>
                <c:pt idx="672">
                  <c:v>13.44</c:v>
                </c:pt>
                <c:pt idx="673">
                  <c:v>13.46</c:v>
                </c:pt>
                <c:pt idx="674">
                  <c:v>13.48</c:v>
                </c:pt>
                <c:pt idx="675">
                  <c:v>13.5</c:v>
                </c:pt>
                <c:pt idx="676">
                  <c:v>13.52</c:v>
                </c:pt>
                <c:pt idx="677">
                  <c:v>13.54</c:v>
                </c:pt>
                <c:pt idx="678">
                  <c:v>13.56</c:v>
                </c:pt>
                <c:pt idx="679">
                  <c:v>13.58</c:v>
                </c:pt>
                <c:pt idx="680">
                  <c:v>13.6</c:v>
                </c:pt>
                <c:pt idx="681">
                  <c:v>13.62</c:v>
                </c:pt>
                <c:pt idx="682">
                  <c:v>13.64</c:v>
                </c:pt>
                <c:pt idx="683">
                  <c:v>13.66</c:v>
                </c:pt>
                <c:pt idx="684">
                  <c:v>13.68</c:v>
                </c:pt>
                <c:pt idx="685">
                  <c:v>13.7</c:v>
                </c:pt>
                <c:pt idx="686">
                  <c:v>13.72</c:v>
                </c:pt>
                <c:pt idx="687">
                  <c:v>13.74</c:v>
                </c:pt>
                <c:pt idx="688">
                  <c:v>13.76</c:v>
                </c:pt>
                <c:pt idx="689">
                  <c:v>13.78</c:v>
                </c:pt>
                <c:pt idx="690">
                  <c:v>13.8</c:v>
                </c:pt>
                <c:pt idx="691">
                  <c:v>13.82</c:v>
                </c:pt>
                <c:pt idx="692">
                  <c:v>13.84</c:v>
                </c:pt>
                <c:pt idx="693">
                  <c:v>13.86</c:v>
                </c:pt>
                <c:pt idx="694">
                  <c:v>13.88</c:v>
                </c:pt>
                <c:pt idx="695">
                  <c:v>13.9</c:v>
                </c:pt>
                <c:pt idx="696">
                  <c:v>13.92</c:v>
                </c:pt>
                <c:pt idx="697">
                  <c:v>13.94</c:v>
                </c:pt>
                <c:pt idx="698">
                  <c:v>13.96</c:v>
                </c:pt>
                <c:pt idx="699">
                  <c:v>13.98</c:v>
                </c:pt>
                <c:pt idx="700">
                  <c:v>14</c:v>
                </c:pt>
                <c:pt idx="701">
                  <c:v>14.02</c:v>
                </c:pt>
                <c:pt idx="702">
                  <c:v>14.04</c:v>
                </c:pt>
                <c:pt idx="703">
                  <c:v>14.06</c:v>
                </c:pt>
                <c:pt idx="704">
                  <c:v>14.08</c:v>
                </c:pt>
                <c:pt idx="705">
                  <c:v>14.1</c:v>
                </c:pt>
                <c:pt idx="706">
                  <c:v>14.12</c:v>
                </c:pt>
                <c:pt idx="707">
                  <c:v>14.14</c:v>
                </c:pt>
                <c:pt idx="708">
                  <c:v>14.16</c:v>
                </c:pt>
                <c:pt idx="709">
                  <c:v>14.18</c:v>
                </c:pt>
                <c:pt idx="710">
                  <c:v>14.2</c:v>
                </c:pt>
                <c:pt idx="711">
                  <c:v>14.22</c:v>
                </c:pt>
                <c:pt idx="712">
                  <c:v>14.24</c:v>
                </c:pt>
                <c:pt idx="713">
                  <c:v>14.26</c:v>
                </c:pt>
                <c:pt idx="714">
                  <c:v>14.28</c:v>
                </c:pt>
                <c:pt idx="715">
                  <c:v>14.3</c:v>
                </c:pt>
                <c:pt idx="716">
                  <c:v>14.32</c:v>
                </c:pt>
                <c:pt idx="717">
                  <c:v>14.34</c:v>
                </c:pt>
                <c:pt idx="718">
                  <c:v>14.36</c:v>
                </c:pt>
                <c:pt idx="719">
                  <c:v>14.38</c:v>
                </c:pt>
                <c:pt idx="720">
                  <c:v>14.4</c:v>
                </c:pt>
                <c:pt idx="721">
                  <c:v>14.42</c:v>
                </c:pt>
                <c:pt idx="722">
                  <c:v>14.44</c:v>
                </c:pt>
                <c:pt idx="723">
                  <c:v>14.46</c:v>
                </c:pt>
                <c:pt idx="724">
                  <c:v>14.48</c:v>
                </c:pt>
                <c:pt idx="725">
                  <c:v>14.5</c:v>
                </c:pt>
                <c:pt idx="726">
                  <c:v>14.52</c:v>
                </c:pt>
                <c:pt idx="727">
                  <c:v>14.54</c:v>
                </c:pt>
                <c:pt idx="728">
                  <c:v>14.56</c:v>
                </c:pt>
                <c:pt idx="729">
                  <c:v>14.58</c:v>
                </c:pt>
                <c:pt idx="730">
                  <c:v>14.6</c:v>
                </c:pt>
                <c:pt idx="731">
                  <c:v>14.62</c:v>
                </c:pt>
                <c:pt idx="732">
                  <c:v>14.64</c:v>
                </c:pt>
                <c:pt idx="733">
                  <c:v>14.66</c:v>
                </c:pt>
                <c:pt idx="734">
                  <c:v>14.68</c:v>
                </c:pt>
                <c:pt idx="735">
                  <c:v>14.7</c:v>
                </c:pt>
                <c:pt idx="736">
                  <c:v>14.72</c:v>
                </c:pt>
                <c:pt idx="737">
                  <c:v>14.74</c:v>
                </c:pt>
                <c:pt idx="738">
                  <c:v>14.76</c:v>
                </c:pt>
                <c:pt idx="739">
                  <c:v>14.78</c:v>
                </c:pt>
                <c:pt idx="740">
                  <c:v>14.8</c:v>
                </c:pt>
                <c:pt idx="741">
                  <c:v>14.82</c:v>
                </c:pt>
                <c:pt idx="742">
                  <c:v>14.84</c:v>
                </c:pt>
                <c:pt idx="743">
                  <c:v>14.86</c:v>
                </c:pt>
                <c:pt idx="744">
                  <c:v>14.88</c:v>
                </c:pt>
                <c:pt idx="745">
                  <c:v>14.9</c:v>
                </c:pt>
                <c:pt idx="746">
                  <c:v>14.92</c:v>
                </c:pt>
                <c:pt idx="747">
                  <c:v>14.94</c:v>
                </c:pt>
                <c:pt idx="748">
                  <c:v>14.96</c:v>
                </c:pt>
                <c:pt idx="749">
                  <c:v>14.98</c:v>
                </c:pt>
                <c:pt idx="750">
                  <c:v>15</c:v>
                </c:pt>
                <c:pt idx="751">
                  <c:v>15.02</c:v>
                </c:pt>
                <c:pt idx="752">
                  <c:v>15.04</c:v>
                </c:pt>
                <c:pt idx="753">
                  <c:v>15.06</c:v>
                </c:pt>
                <c:pt idx="754">
                  <c:v>15.08</c:v>
                </c:pt>
                <c:pt idx="755">
                  <c:v>15.1</c:v>
                </c:pt>
                <c:pt idx="756">
                  <c:v>15.12</c:v>
                </c:pt>
                <c:pt idx="757">
                  <c:v>15.14</c:v>
                </c:pt>
                <c:pt idx="758">
                  <c:v>15.16</c:v>
                </c:pt>
                <c:pt idx="759">
                  <c:v>15.18</c:v>
                </c:pt>
                <c:pt idx="760">
                  <c:v>15.2</c:v>
                </c:pt>
                <c:pt idx="761">
                  <c:v>15.22</c:v>
                </c:pt>
                <c:pt idx="762">
                  <c:v>15.24</c:v>
                </c:pt>
                <c:pt idx="763">
                  <c:v>15.26</c:v>
                </c:pt>
                <c:pt idx="764">
                  <c:v>15.28</c:v>
                </c:pt>
                <c:pt idx="765">
                  <c:v>15.3</c:v>
                </c:pt>
                <c:pt idx="766">
                  <c:v>15.32</c:v>
                </c:pt>
                <c:pt idx="767">
                  <c:v>15.34</c:v>
                </c:pt>
                <c:pt idx="768">
                  <c:v>15.36</c:v>
                </c:pt>
                <c:pt idx="769">
                  <c:v>15.38</c:v>
                </c:pt>
                <c:pt idx="770">
                  <c:v>15.4</c:v>
                </c:pt>
                <c:pt idx="771">
                  <c:v>15.42</c:v>
                </c:pt>
                <c:pt idx="772">
                  <c:v>15.44</c:v>
                </c:pt>
                <c:pt idx="773">
                  <c:v>15.46</c:v>
                </c:pt>
                <c:pt idx="774">
                  <c:v>15.48</c:v>
                </c:pt>
                <c:pt idx="775">
                  <c:v>15.5</c:v>
                </c:pt>
                <c:pt idx="776">
                  <c:v>15.52</c:v>
                </c:pt>
                <c:pt idx="777">
                  <c:v>15.54</c:v>
                </c:pt>
                <c:pt idx="778">
                  <c:v>15.56</c:v>
                </c:pt>
                <c:pt idx="779">
                  <c:v>15.58</c:v>
                </c:pt>
                <c:pt idx="780">
                  <c:v>15.6</c:v>
                </c:pt>
                <c:pt idx="781">
                  <c:v>15.62</c:v>
                </c:pt>
                <c:pt idx="782">
                  <c:v>15.64</c:v>
                </c:pt>
                <c:pt idx="783">
                  <c:v>15.66</c:v>
                </c:pt>
                <c:pt idx="784">
                  <c:v>15.68</c:v>
                </c:pt>
                <c:pt idx="785">
                  <c:v>15.7</c:v>
                </c:pt>
                <c:pt idx="786">
                  <c:v>15.72</c:v>
                </c:pt>
                <c:pt idx="787">
                  <c:v>15.74</c:v>
                </c:pt>
                <c:pt idx="788">
                  <c:v>15.76</c:v>
                </c:pt>
                <c:pt idx="789">
                  <c:v>15.78</c:v>
                </c:pt>
                <c:pt idx="790">
                  <c:v>15.8</c:v>
                </c:pt>
                <c:pt idx="791">
                  <c:v>15.82</c:v>
                </c:pt>
                <c:pt idx="792">
                  <c:v>15.84</c:v>
                </c:pt>
                <c:pt idx="793">
                  <c:v>15.86</c:v>
                </c:pt>
                <c:pt idx="794">
                  <c:v>15.88</c:v>
                </c:pt>
                <c:pt idx="795">
                  <c:v>15.9</c:v>
                </c:pt>
                <c:pt idx="796">
                  <c:v>15.92</c:v>
                </c:pt>
                <c:pt idx="797">
                  <c:v>15.94</c:v>
                </c:pt>
                <c:pt idx="798">
                  <c:v>15.96</c:v>
                </c:pt>
                <c:pt idx="799">
                  <c:v>15.98</c:v>
                </c:pt>
                <c:pt idx="800">
                  <c:v>16</c:v>
                </c:pt>
                <c:pt idx="801">
                  <c:v>16.02</c:v>
                </c:pt>
                <c:pt idx="802">
                  <c:v>16.04</c:v>
                </c:pt>
                <c:pt idx="803">
                  <c:v>16.059999999999999</c:v>
                </c:pt>
                <c:pt idx="804">
                  <c:v>16.079999999999998</c:v>
                </c:pt>
                <c:pt idx="805">
                  <c:v>16.100000000000001</c:v>
                </c:pt>
                <c:pt idx="806">
                  <c:v>16.12</c:v>
                </c:pt>
                <c:pt idx="807">
                  <c:v>16.14</c:v>
                </c:pt>
                <c:pt idx="808">
                  <c:v>16.16</c:v>
                </c:pt>
                <c:pt idx="809">
                  <c:v>16.18</c:v>
                </c:pt>
                <c:pt idx="810">
                  <c:v>16.2</c:v>
                </c:pt>
                <c:pt idx="811">
                  <c:v>16.22</c:v>
                </c:pt>
                <c:pt idx="812">
                  <c:v>16.239999999999998</c:v>
                </c:pt>
                <c:pt idx="813">
                  <c:v>16.260000000000002</c:v>
                </c:pt>
                <c:pt idx="814">
                  <c:v>16.28</c:v>
                </c:pt>
                <c:pt idx="815">
                  <c:v>16.3</c:v>
                </c:pt>
                <c:pt idx="816">
                  <c:v>16.32</c:v>
                </c:pt>
                <c:pt idx="817">
                  <c:v>16.34</c:v>
                </c:pt>
                <c:pt idx="818">
                  <c:v>16.36</c:v>
                </c:pt>
                <c:pt idx="819">
                  <c:v>16.38</c:v>
                </c:pt>
                <c:pt idx="820">
                  <c:v>16.399999999999999</c:v>
                </c:pt>
                <c:pt idx="821">
                  <c:v>16.420000000000002</c:v>
                </c:pt>
                <c:pt idx="822">
                  <c:v>16.440000000000001</c:v>
                </c:pt>
                <c:pt idx="823">
                  <c:v>16.46</c:v>
                </c:pt>
                <c:pt idx="824">
                  <c:v>16.48</c:v>
                </c:pt>
                <c:pt idx="825">
                  <c:v>16.5</c:v>
                </c:pt>
                <c:pt idx="826">
                  <c:v>16.52</c:v>
                </c:pt>
                <c:pt idx="827">
                  <c:v>16.54</c:v>
                </c:pt>
                <c:pt idx="828">
                  <c:v>16.559999999999999</c:v>
                </c:pt>
                <c:pt idx="829">
                  <c:v>16.579999999999998</c:v>
                </c:pt>
                <c:pt idx="830">
                  <c:v>16.600000000000001</c:v>
                </c:pt>
                <c:pt idx="831">
                  <c:v>16.62</c:v>
                </c:pt>
                <c:pt idx="832">
                  <c:v>16.64</c:v>
                </c:pt>
                <c:pt idx="833">
                  <c:v>16.66</c:v>
                </c:pt>
                <c:pt idx="834">
                  <c:v>16.68</c:v>
                </c:pt>
                <c:pt idx="835">
                  <c:v>16.7</c:v>
                </c:pt>
                <c:pt idx="836">
                  <c:v>16.72</c:v>
                </c:pt>
                <c:pt idx="837">
                  <c:v>16.739999999999998</c:v>
                </c:pt>
                <c:pt idx="838">
                  <c:v>16.760000000000002</c:v>
                </c:pt>
                <c:pt idx="839">
                  <c:v>16.78</c:v>
                </c:pt>
                <c:pt idx="840">
                  <c:v>16.8</c:v>
                </c:pt>
                <c:pt idx="841">
                  <c:v>16.82</c:v>
                </c:pt>
                <c:pt idx="842">
                  <c:v>16.84</c:v>
                </c:pt>
                <c:pt idx="843">
                  <c:v>16.86</c:v>
                </c:pt>
                <c:pt idx="844">
                  <c:v>16.88</c:v>
                </c:pt>
                <c:pt idx="845">
                  <c:v>16.899999999999999</c:v>
                </c:pt>
                <c:pt idx="846">
                  <c:v>16.920000000000002</c:v>
                </c:pt>
                <c:pt idx="847">
                  <c:v>16.940000000000001</c:v>
                </c:pt>
                <c:pt idx="848">
                  <c:v>16.96</c:v>
                </c:pt>
                <c:pt idx="849">
                  <c:v>16.98</c:v>
                </c:pt>
                <c:pt idx="850">
                  <c:v>17</c:v>
                </c:pt>
                <c:pt idx="851">
                  <c:v>17.02</c:v>
                </c:pt>
                <c:pt idx="852">
                  <c:v>17.04</c:v>
                </c:pt>
                <c:pt idx="853">
                  <c:v>17.059999999999999</c:v>
                </c:pt>
                <c:pt idx="854">
                  <c:v>17.079999999999998</c:v>
                </c:pt>
                <c:pt idx="855">
                  <c:v>17.100000000000001</c:v>
                </c:pt>
                <c:pt idx="856">
                  <c:v>17.12</c:v>
                </c:pt>
                <c:pt idx="857">
                  <c:v>17.14</c:v>
                </c:pt>
                <c:pt idx="858">
                  <c:v>17.16</c:v>
                </c:pt>
                <c:pt idx="859">
                  <c:v>17.18</c:v>
                </c:pt>
                <c:pt idx="860">
                  <c:v>17.2</c:v>
                </c:pt>
                <c:pt idx="861">
                  <c:v>17.22</c:v>
                </c:pt>
                <c:pt idx="862">
                  <c:v>17.239999999999998</c:v>
                </c:pt>
                <c:pt idx="863">
                  <c:v>17.260000000000002</c:v>
                </c:pt>
                <c:pt idx="864">
                  <c:v>17.28</c:v>
                </c:pt>
                <c:pt idx="865">
                  <c:v>17.3</c:v>
                </c:pt>
                <c:pt idx="866">
                  <c:v>17.32</c:v>
                </c:pt>
                <c:pt idx="867">
                  <c:v>17.34</c:v>
                </c:pt>
                <c:pt idx="868">
                  <c:v>17.36</c:v>
                </c:pt>
                <c:pt idx="869">
                  <c:v>17.38</c:v>
                </c:pt>
                <c:pt idx="870">
                  <c:v>17.399999999999999</c:v>
                </c:pt>
                <c:pt idx="871">
                  <c:v>17.420000000000002</c:v>
                </c:pt>
                <c:pt idx="872">
                  <c:v>17.440000000000001</c:v>
                </c:pt>
                <c:pt idx="873">
                  <c:v>17.46</c:v>
                </c:pt>
                <c:pt idx="874">
                  <c:v>17.48</c:v>
                </c:pt>
                <c:pt idx="875">
                  <c:v>17.5</c:v>
                </c:pt>
                <c:pt idx="876">
                  <c:v>17.52</c:v>
                </c:pt>
                <c:pt idx="877">
                  <c:v>17.54</c:v>
                </c:pt>
                <c:pt idx="878">
                  <c:v>17.559999999999999</c:v>
                </c:pt>
                <c:pt idx="879">
                  <c:v>17.579999999999998</c:v>
                </c:pt>
                <c:pt idx="880">
                  <c:v>17.600000000000001</c:v>
                </c:pt>
                <c:pt idx="881">
                  <c:v>17.62</c:v>
                </c:pt>
                <c:pt idx="882">
                  <c:v>17.64</c:v>
                </c:pt>
                <c:pt idx="883">
                  <c:v>17.66</c:v>
                </c:pt>
                <c:pt idx="884">
                  <c:v>17.68</c:v>
                </c:pt>
                <c:pt idx="885">
                  <c:v>17.7</c:v>
                </c:pt>
                <c:pt idx="886">
                  <c:v>17.72</c:v>
                </c:pt>
                <c:pt idx="887">
                  <c:v>17.739999999999998</c:v>
                </c:pt>
                <c:pt idx="888">
                  <c:v>17.760000000000002</c:v>
                </c:pt>
                <c:pt idx="889">
                  <c:v>17.78</c:v>
                </c:pt>
                <c:pt idx="890">
                  <c:v>17.8</c:v>
                </c:pt>
                <c:pt idx="891">
                  <c:v>17.82</c:v>
                </c:pt>
                <c:pt idx="892">
                  <c:v>17.84</c:v>
                </c:pt>
                <c:pt idx="893">
                  <c:v>17.86</c:v>
                </c:pt>
                <c:pt idx="894">
                  <c:v>17.88</c:v>
                </c:pt>
                <c:pt idx="895">
                  <c:v>17.899999999999999</c:v>
                </c:pt>
                <c:pt idx="896">
                  <c:v>17.920000000000002</c:v>
                </c:pt>
                <c:pt idx="897">
                  <c:v>17.940000000000001</c:v>
                </c:pt>
                <c:pt idx="898">
                  <c:v>17.96</c:v>
                </c:pt>
                <c:pt idx="899">
                  <c:v>17.98</c:v>
                </c:pt>
                <c:pt idx="900">
                  <c:v>18</c:v>
                </c:pt>
                <c:pt idx="901">
                  <c:v>18.02</c:v>
                </c:pt>
                <c:pt idx="902">
                  <c:v>18.04</c:v>
                </c:pt>
                <c:pt idx="903">
                  <c:v>18.059999999999999</c:v>
                </c:pt>
                <c:pt idx="904">
                  <c:v>18.079999999999998</c:v>
                </c:pt>
                <c:pt idx="905">
                  <c:v>18.100000000000001</c:v>
                </c:pt>
                <c:pt idx="906">
                  <c:v>18.12</c:v>
                </c:pt>
                <c:pt idx="907">
                  <c:v>18.14</c:v>
                </c:pt>
                <c:pt idx="908">
                  <c:v>18.16</c:v>
                </c:pt>
                <c:pt idx="909">
                  <c:v>18.18</c:v>
                </c:pt>
                <c:pt idx="910">
                  <c:v>18.2</c:v>
                </c:pt>
                <c:pt idx="911">
                  <c:v>18.22</c:v>
                </c:pt>
                <c:pt idx="912">
                  <c:v>18.239999999999998</c:v>
                </c:pt>
                <c:pt idx="913">
                  <c:v>18.260000000000002</c:v>
                </c:pt>
                <c:pt idx="914">
                  <c:v>18.28</c:v>
                </c:pt>
                <c:pt idx="915">
                  <c:v>18.3</c:v>
                </c:pt>
                <c:pt idx="916">
                  <c:v>18.32</c:v>
                </c:pt>
                <c:pt idx="917">
                  <c:v>18.34</c:v>
                </c:pt>
                <c:pt idx="918">
                  <c:v>18.36</c:v>
                </c:pt>
                <c:pt idx="919">
                  <c:v>18.38</c:v>
                </c:pt>
                <c:pt idx="920">
                  <c:v>18.399999999999999</c:v>
                </c:pt>
                <c:pt idx="921">
                  <c:v>18.420000000000002</c:v>
                </c:pt>
                <c:pt idx="922">
                  <c:v>18.440000000000001</c:v>
                </c:pt>
                <c:pt idx="923">
                  <c:v>18.46</c:v>
                </c:pt>
                <c:pt idx="924">
                  <c:v>18.48</c:v>
                </c:pt>
                <c:pt idx="925">
                  <c:v>18.5</c:v>
                </c:pt>
                <c:pt idx="926">
                  <c:v>18.52</c:v>
                </c:pt>
                <c:pt idx="927">
                  <c:v>18.54</c:v>
                </c:pt>
                <c:pt idx="928">
                  <c:v>18.559999999999999</c:v>
                </c:pt>
                <c:pt idx="929">
                  <c:v>18.579999999999998</c:v>
                </c:pt>
                <c:pt idx="930">
                  <c:v>18.600000000000001</c:v>
                </c:pt>
                <c:pt idx="931">
                  <c:v>18.62</c:v>
                </c:pt>
                <c:pt idx="932">
                  <c:v>18.64</c:v>
                </c:pt>
                <c:pt idx="933">
                  <c:v>18.66</c:v>
                </c:pt>
                <c:pt idx="934">
                  <c:v>18.68</c:v>
                </c:pt>
                <c:pt idx="935">
                  <c:v>18.7</c:v>
                </c:pt>
                <c:pt idx="936">
                  <c:v>18.72</c:v>
                </c:pt>
                <c:pt idx="937">
                  <c:v>18.739999999999998</c:v>
                </c:pt>
                <c:pt idx="938">
                  <c:v>18.760000000000002</c:v>
                </c:pt>
                <c:pt idx="939">
                  <c:v>18.78</c:v>
                </c:pt>
                <c:pt idx="940">
                  <c:v>18.8</c:v>
                </c:pt>
                <c:pt idx="941">
                  <c:v>18.82</c:v>
                </c:pt>
                <c:pt idx="942">
                  <c:v>18.84</c:v>
                </c:pt>
                <c:pt idx="943">
                  <c:v>18.86</c:v>
                </c:pt>
                <c:pt idx="944">
                  <c:v>18.88</c:v>
                </c:pt>
                <c:pt idx="945">
                  <c:v>18.899999999999999</c:v>
                </c:pt>
                <c:pt idx="946">
                  <c:v>18.920000000000002</c:v>
                </c:pt>
                <c:pt idx="947">
                  <c:v>18.940000000000001</c:v>
                </c:pt>
                <c:pt idx="948">
                  <c:v>18.96</c:v>
                </c:pt>
                <c:pt idx="949">
                  <c:v>18.98</c:v>
                </c:pt>
                <c:pt idx="950">
                  <c:v>19</c:v>
                </c:pt>
                <c:pt idx="951">
                  <c:v>19.02</c:v>
                </c:pt>
                <c:pt idx="952">
                  <c:v>19.04</c:v>
                </c:pt>
                <c:pt idx="953">
                  <c:v>19.059999999999999</c:v>
                </c:pt>
                <c:pt idx="954">
                  <c:v>19.079999999999998</c:v>
                </c:pt>
                <c:pt idx="955">
                  <c:v>19.100000000000001</c:v>
                </c:pt>
                <c:pt idx="956">
                  <c:v>19.12</c:v>
                </c:pt>
                <c:pt idx="957">
                  <c:v>19.14</c:v>
                </c:pt>
                <c:pt idx="958">
                  <c:v>19.16</c:v>
                </c:pt>
                <c:pt idx="959">
                  <c:v>19.18</c:v>
                </c:pt>
                <c:pt idx="960">
                  <c:v>19.2</c:v>
                </c:pt>
                <c:pt idx="961">
                  <c:v>19.22</c:v>
                </c:pt>
                <c:pt idx="962">
                  <c:v>19.239999999999998</c:v>
                </c:pt>
                <c:pt idx="963">
                  <c:v>19.260000000000002</c:v>
                </c:pt>
                <c:pt idx="964">
                  <c:v>19.28</c:v>
                </c:pt>
                <c:pt idx="965">
                  <c:v>19.3</c:v>
                </c:pt>
                <c:pt idx="966">
                  <c:v>19.32</c:v>
                </c:pt>
                <c:pt idx="967">
                  <c:v>19.34</c:v>
                </c:pt>
                <c:pt idx="968">
                  <c:v>19.36</c:v>
                </c:pt>
                <c:pt idx="969">
                  <c:v>19.38</c:v>
                </c:pt>
                <c:pt idx="970">
                  <c:v>19.399999999999999</c:v>
                </c:pt>
                <c:pt idx="971">
                  <c:v>19.420000000000002</c:v>
                </c:pt>
                <c:pt idx="972">
                  <c:v>19.440000000000001</c:v>
                </c:pt>
                <c:pt idx="973">
                  <c:v>19.46</c:v>
                </c:pt>
                <c:pt idx="974">
                  <c:v>19.48</c:v>
                </c:pt>
                <c:pt idx="975">
                  <c:v>19.5</c:v>
                </c:pt>
                <c:pt idx="976">
                  <c:v>19.52</c:v>
                </c:pt>
                <c:pt idx="977">
                  <c:v>19.54</c:v>
                </c:pt>
                <c:pt idx="978">
                  <c:v>19.559999999999999</c:v>
                </c:pt>
                <c:pt idx="979">
                  <c:v>19.579999999999998</c:v>
                </c:pt>
                <c:pt idx="980">
                  <c:v>19.600000000000001</c:v>
                </c:pt>
                <c:pt idx="981">
                  <c:v>19.62</c:v>
                </c:pt>
                <c:pt idx="982">
                  <c:v>19.64</c:v>
                </c:pt>
                <c:pt idx="983">
                  <c:v>19.66</c:v>
                </c:pt>
                <c:pt idx="984">
                  <c:v>19.68</c:v>
                </c:pt>
                <c:pt idx="985">
                  <c:v>19.7</c:v>
                </c:pt>
                <c:pt idx="986">
                  <c:v>19.72</c:v>
                </c:pt>
                <c:pt idx="987">
                  <c:v>19.739999999999998</c:v>
                </c:pt>
                <c:pt idx="988">
                  <c:v>19.760000000000002</c:v>
                </c:pt>
                <c:pt idx="989">
                  <c:v>19.78</c:v>
                </c:pt>
                <c:pt idx="990">
                  <c:v>19.8</c:v>
                </c:pt>
                <c:pt idx="991">
                  <c:v>19.82</c:v>
                </c:pt>
                <c:pt idx="992">
                  <c:v>19.84</c:v>
                </c:pt>
                <c:pt idx="993">
                  <c:v>19.86</c:v>
                </c:pt>
                <c:pt idx="994">
                  <c:v>19.88</c:v>
                </c:pt>
                <c:pt idx="995">
                  <c:v>19.899999999999999</c:v>
                </c:pt>
                <c:pt idx="996">
                  <c:v>19.920000000000002</c:v>
                </c:pt>
                <c:pt idx="997">
                  <c:v>19.940000000000001</c:v>
                </c:pt>
                <c:pt idx="998">
                  <c:v>19.96</c:v>
                </c:pt>
                <c:pt idx="999">
                  <c:v>19.98</c:v>
                </c:pt>
                <c:pt idx="1000">
                  <c:v>20</c:v>
                </c:pt>
                <c:pt idx="1001">
                  <c:v>20.02</c:v>
                </c:pt>
                <c:pt idx="1002">
                  <c:v>20.04</c:v>
                </c:pt>
                <c:pt idx="1003">
                  <c:v>20.059999999999999</c:v>
                </c:pt>
                <c:pt idx="1004">
                  <c:v>20.079999999999998</c:v>
                </c:pt>
                <c:pt idx="1005">
                  <c:v>20.100000000000001</c:v>
                </c:pt>
                <c:pt idx="1006">
                  <c:v>20.12</c:v>
                </c:pt>
                <c:pt idx="1007">
                  <c:v>20.14</c:v>
                </c:pt>
                <c:pt idx="1008">
                  <c:v>20.16</c:v>
                </c:pt>
                <c:pt idx="1009">
                  <c:v>20.18</c:v>
                </c:pt>
                <c:pt idx="1010">
                  <c:v>20.2</c:v>
                </c:pt>
                <c:pt idx="1011">
                  <c:v>20.22</c:v>
                </c:pt>
                <c:pt idx="1012">
                  <c:v>20.239999999999998</c:v>
                </c:pt>
                <c:pt idx="1013">
                  <c:v>20.260000000000002</c:v>
                </c:pt>
                <c:pt idx="1014">
                  <c:v>20.28</c:v>
                </c:pt>
                <c:pt idx="1015">
                  <c:v>20.3</c:v>
                </c:pt>
                <c:pt idx="1016">
                  <c:v>20.32</c:v>
                </c:pt>
                <c:pt idx="1017">
                  <c:v>20.34</c:v>
                </c:pt>
                <c:pt idx="1018">
                  <c:v>20.36</c:v>
                </c:pt>
                <c:pt idx="1019">
                  <c:v>20.38</c:v>
                </c:pt>
                <c:pt idx="1020">
                  <c:v>20.399999999999999</c:v>
                </c:pt>
                <c:pt idx="1021">
                  <c:v>20.420000000000002</c:v>
                </c:pt>
                <c:pt idx="1022">
                  <c:v>20.440000000000001</c:v>
                </c:pt>
                <c:pt idx="1023">
                  <c:v>20.46</c:v>
                </c:pt>
                <c:pt idx="1024">
                  <c:v>20.48</c:v>
                </c:pt>
                <c:pt idx="1025">
                  <c:v>20.5</c:v>
                </c:pt>
                <c:pt idx="1026">
                  <c:v>20.52</c:v>
                </c:pt>
                <c:pt idx="1027">
                  <c:v>20.54</c:v>
                </c:pt>
                <c:pt idx="1028">
                  <c:v>20.56</c:v>
                </c:pt>
                <c:pt idx="1029">
                  <c:v>20.58</c:v>
                </c:pt>
                <c:pt idx="1030">
                  <c:v>20.6</c:v>
                </c:pt>
                <c:pt idx="1031">
                  <c:v>20.62</c:v>
                </c:pt>
                <c:pt idx="1032">
                  <c:v>20.64</c:v>
                </c:pt>
                <c:pt idx="1033">
                  <c:v>20.66</c:v>
                </c:pt>
                <c:pt idx="1034">
                  <c:v>20.68</c:v>
                </c:pt>
                <c:pt idx="1035">
                  <c:v>20.7</c:v>
                </c:pt>
                <c:pt idx="1036">
                  <c:v>20.72</c:v>
                </c:pt>
                <c:pt idx="1037">
                  <c:v>20.74</c:v>
                </c:pt>
                <c:pt idx="1038">
                  <c:v>20.76</c:v>
                </c:pt>
                <c:pt idx="1039">
                  <c:v>20.78</c:v>
                </c:pt>
                <c:pt idx="1040">
                  <c:v>20.8</c:v>
                </c:pt>
                <c:pt idx="1041">
                  <c:v>20.82</c:v>
                </c:pt>
                <c:pt idx="1042">
                  <c:v>20.84</c:v>
                </c:pt>
                <c:pt idx="1043">
                  <c:v>20.86</c:v>
                </c:pt>
                <c:pt idx="1044">
                  <c:v>20.88</c:v>
                </c:pt>
                <c:pt idx="1045">
                  <c:v>20.9</c:v>
                </c:pt>
                <c:pt idx="1046">
                  <c:v>20.92</c:v>
                </c:pt>
                <c:pt idx="1047">
                  <c:v>20.94</c:v>
                </c:pt>
                <c:pt idx="1048">
                  <c:v>20.96</c:v>
                </c:pt>
                <c:pt idx="1049">
                  <c:v>20.98</c:v>
                </c:pt>
                <c:pt idx="1050">
                  <c:v>21</c:v>
                </c:pt>
                <c:pt idx="1051">
                  <c:v>21.02</c:v>
                </c:pt>
                <c:pt idx="1052">
                  <c:v>21.04</c:v>
                </c:pt>
                <c:pt idx="1053">
                  <c:v>21.06</c:v>
                </c:pt>
                <c:pt idx="1054">
                  <c:v>21.08</c:v>
                </c:pt>
                <c:pt idx="1055">
                  <c:v>21.1</c:v>
                </c:pt>
                <c:pt idx="1056">
                  <c:v>21.12</c:v>
                </c:pt>
                <c:pt idx="1057">
                  <c:v>21.14</c:v>
                </c:pt>
                <c:pt idx="1058">
                  <c:v>21.16</c:v>
                </c:pt>
                <c:pt idx="1059">
                  <c:v>21.18</c:v>
                </c:pt>
                <c:pt idx="1060">
                  <c:v>21.2</c:v>
                </c:pt>
                <c:pt idx="1061">
                  <c:v>21.22</c:v>
                </c:pt>
                <c:pt idx="1062">
                  <c:v>21.24</c:v>
                </c:pt>
                <c:pt idx="1063">
                  <c:v>21.26</c:v>
                </c:pt>
                <c:pt idx="1064">
                  <c:v>21.28</c:v>
                </c:pt>
                <c:pt idx="1065">
                  <c:v>21.3</c:v>
                </c:pt>
                <c:pt idx="1066">
                  <c:v>21.32</c:v>
                </c:pt>
                <c:pt idx="1067">
                  <c:v>21.34</c:v>
                </c:pt>
                <c:pt idx="1068">
                  <c:v>21.36</c:v>
                </c:pt>
                <c:pt idx="1069">
                  <c:v>21.38</c:v>
                </c:pt>
                <c:pt idx="1070">
                  <c:v>21.4</c:v>
                </c:pt>
                <c:pt idx="1071">
                  <c:v>21.42</c:v>
                </c:pt>
                <c:pt idx="1072">
                  <c:v>21.44</c:v>
                </c:pt>
                <c:pt idx="1073">
                  <c:v>21.46</c:v>
                </c:pt>
                <c:pt idx="1074">
                  <c:v>21.48</c:v>
                </c:pt>
                <c:pt idx="1075">
                  <c:v>21.5</c:v>
                </c:pt>
                <c:pt idx="1076">
                  <c:v>21.52</c:v>
                </c:pt>
                <c:pt idx="1077">
                  <c:v>21.54</c:v>
                </c:pt>
                <c:pt idx="1078">
                  <c:v>21.56</c:v>
                </c:pt>
                <c:pt idx="1079">
                  <c:v>21.58</c:v>
                </c:pt>
                <c:pt idx="1080">
                  <c:v>21.6</c:v>
                </c:pt>
                <c:pt idx="1081">
                  <c:v>21.62</c:v>
                </c:pt>
                <c:pt idx="1082">
                  <c:v>21.64</c:v>
                </c:pt>
                <c:pt idx="1083">
                  <c:v>21.66</c:v>
                </c:pt>
                <c:pt idx="1084">
                  <c:v>21.68</c:v>
                </c:pt>
                <c:pt idx="1085">
                  <c:v>21.7</c:v>
                </c:pt>
                <c:pt idx="1086">
                  <c:v>21.72</c:v>
                </c:pt>
                <c:pt idx="1087">
                  <c:v>21.74</c:v>
                </c:pt>
                <c:pt idx="1088">
                  <c:v>21.76</c:v>
                </c:pt>
                <c:pt idx="1089">
                  <c:v>21.78</c:v>
                </c:pt>
                <c:pt idx="1090">
                  <c:v>21.8</c:v>
                </c:pt>
                <c:pt idx="1091">
                  <c:v>21.82</c:v>
                </c:pt>
                <c:pt idx="1092">
                  <c:v>21.84</c:v>
                </c:pt>
                <c:pt idx="1093">
                  <c:v>21.86</c:v>
                </c:pt>
                <c:pt idx="1094">
                  <c:v>21.88</c:v>
                </c:pt>
                <c:pt idx="1095">
                  <c:v>21.9</c:v>
                </c:pt>
                <c:pt idx="1096">
                  <c:v>21.92</c:v>
                </c:pt>
                <c:pt idx="1097">
                  <c:v>21.94</c:v>
                </c:pt>
                <c:pt idx="1098">
                  <c:v>21.96</c:v>
                </c:pt>
                <c:pt idx="1099">
                  <c:v>21.98</c:v>
                </c:pt>
                <c:pt idx="1100">
                  <c:v>22</c:v>
                </c:pt>
                <c:pt idx="1101">
                  <c:v>22.02</c:v>
                </c:pt>
                <c:pt idx="1102">
                  <c:v>22.04</c:v>
                </c:pt>
                <c:pt idx="1103">
                  <c:v>22.06</c:v>
                </c:pt>
                <c:pt idx="1104">
                  <c:v>22.08</c:v>
                </c:pt>
                <c:pt idx="1105">
                  <c:v>22.1</c:v>
                </c:pt>
                <c:pt idx="1106">
                  <c:v>22.12</c:v>
                </c:pt>
                <c:pt idx="1107">
                  <c:v>22.14</c:v>
                </c:pt>
                <c:pt idx="1108">
                  <c:v>22.16</c:v>
                </c:pt>
                <c:pt idx="1109">
                  <c:v>22.18</c:v>
                </c:pt>
                <c:pt idx="1110">
                  <c:v>22.2</c:v>
                </c:pt>
                <c:pt idx="1111">
                  <c:v>22.22</c:v>
                </c:pt>
                <c:pt idx="1112">
                  <c:v>22.24</c:v>
                </c:pt>
                <c:pt idx="1113">
                  <c:v>22.26</c:v>
                </c:pt>
                <c:pt idx="1114">
                  <c:v>22.28</c:v>
                </c:pt>
                <c:pt idx="1115">
                  <c:v>22.3</c:v>
                </c:pt>
                <c:pt idx="1116">
                  <c:v>22.32</c:v>
                </c:pt>
                <c:pt idx="1117">
                  <c:v>22.34</c:v>
                </c:pt>
                <c:pt idx="1118">
                  <c:v>22.36</c:v>
                </c:pt>
                <c:pt idx="1119">
                  <c:v>22.38</c:v>
                </c:pt>
                <c:pt idx="1120">
                  <c:v>22.4</c:v>
                </c:pt>
                <c:pt idx="1121">
                  <c:v>22.42</c:v>
                </c:pt>
                <c:pt idx="1122">
                  <c:v>22.44</c:v>
                </c:pt>
                <c:pt idx="1123">
                  <c:v>22.46</c:v>
                </c:pt>
                <c:pt idx="1124">
                  <c:v>22.48</c:v>
                </c:pt>
                <c:pt idx="1125">
                  <c:v>22.5</c:v>
                </c:pt>
                <c:pt idx="1126">
                  <c:v>22.52</c:v>
                </c:pt>
                <c:pt idx="1127">
                  <c:v>22.54</c:v>
                </c:pt>
                <c:pt idx="1128">
                  <c:v>22.56</c:v>
                </c:pt>
                <c:pt idx="1129">
                  <c:v>22.58</c:v>
                </c:pt>
                <c:pt idx="1130">
                  <c:v>22.6</c:v>
                </c:pt>
                <c:pt idx="1131">
                  <c:v>22.62</c:v>
                </c:pt>
                <c:pt idx="1132">
                  <c:v>22.64</c:v>
                </c:pt>
                <c:pt idx="1133">
                  <c:v>22.66</c:v>
                </c:pt>
                <c:pt idx="1134">
                  <c:v>22.68</c:v>
                </c:pt>
                <c:pt idx="1135">
                  <c:v>22.7</c:v>
                </c:pt>
                <c:pt idx="1136">
                  <c:v>22.72</c:v>
                </c:pt>
                <c:pt idx="1137">
                  <c:v>22.74</c:v>
                </c:pt>
                <c:pt idx="1138">
                  <c:v>22.76</c:v>
                </c:pt>
                <c:pt idx="1139">
                  <c:v>22.78</c:v>
                </c:pt>
                <c:pt idx="1140">
                  <c:v>22.8</c:v>
                </c:pt>
                <c:pt idx="1141">
                  <c:v>22.82</c:v>
                </c:pt>
                <c:pt idx="1142">
                  <c:v>22.84</c:v>
                </c:pt>
                <c:pt idx="1143">
                  <c:v>22.86</c:v>
                </c:pt>
                <c:pt idx="1144">
                  <c:v>22.88</c:v>
                </c:pt>
                <c:pt idx="1145">
                  <c:v>22.9</c:v>
                </c:pt>
                <c:pt idx="1146">
                  <c:v>22.92</c:v>
                </c:pt>
                <c:pt idx="1147">
                  <c:v>22.94</c:v>
                </c:pt>
                <c:pt idx="1148">
                  <c:v>22.96</c:v>
                </c:pt>
                <c:pt idx="1149">
                  <c:v>22.98</c:v>
                </c:pt>
                <c:pt idx="1150">
                  <c:v>23</c:v>
                </c:pt>
                <c:pt idx="1151">
                  <c:v>23.02</c:v>
                </c:pt>
                <c:pt idx="1152">
                  <c:v>23.04</c:v>
                </c:pt>
                <c:pt idx="1153">
                  <c:v>23.06</c:v>
                </c:pt>
                <c:pt idx="1154">
                  <c:v>23.08</c:v>
                </c:pt>
                <c:pt idx="1155">
                  <c:v>23.1</c:v>
                </c:pt>
                <c:pt idx="1156">
                  <c:v>23.12</c:v>
                </c:pt>
                <c:pt idx="1157">
                  <c:v>23.14</c:v>
                </c:pt>
                <c:pt idx="1158">
                  <c:v>23.16</c:v>
                </c:pt>
                <c:pt idx="1159">
                  <c:v>23.18</c:v>
                </c:pt>
                <c:pt idx="1160">
                  <c:v>23.2</c:v>
                </c:pt>
                <c:pt idx="1161">
                  <c:v>23.22</c:v>
                </c:pt>
                <c:pt idx="1162">
                  <c:v>23.24</c:v>
                </c:pt>
                <c:pt idx="1163">
                  <c:v>23.26</c:v>
                </c:pt>
                <c:pt idx="1164">
                  <c:v>23.28</c:v>
                </c:pt>
                <c:pt idx="1165">
                  <c:v>23.3</c:v>
                </c:pt>
                <c:pt idx="1166">
                  <c:v>23.32</c:v>
                </c:pt>
                <c:pt idx="1167">
                  <c:v>23.34</c:v>
                </c:pt>
                <c:pt idx="1168">
                  <c:v>23.36</c:v>
                </c:pt>
                <c:pt idx="1169">
                  <c:v>23.38</c:v>
                </c:pt>
                <c:pt idx="1170">
                  <c:v>23.4</c:v>
                </c:pt>
                <c:pt idx="1171">
                  <c:v>23.42</c:v>
                </c:pt>
                <c:pt idx="1172">
                  <c:v>23.44</c:v>
                </c:pt>
                <c:pt idx="1173">
                  <c:v>23.46</c:v>
                </c:pt>
                <c:pt idx="1174">
                  <c:v>23.48</c:v>
                </c:pt>
                <c:pt idx="1175">
                  <c:v>23.5</c:v>
                </c:pt>
                <c:pt idx="1176">
                  <c:v>23.52</c:v>
                </c:pt>
                <c:pt idx="1177">
                  <c:v>23.54</c:v>
                </c:pt>
                <c:pt idx="1178">
                  <c:v>23.56</c:v>
                </c:pt>
                <c:pt idx="1179">
                  <c:v>23.58</c:v>
                </c:pt>
                <c:pt idx="1180">
                  <c:v>23.6</c:v>
                </c:pt>
                <c:pt idx="1181">
                  <c:v>23.62</c:v>
                </c:pt>
                <c:pt idx="1182">
                  <c:v>23.64</c:v>
                </c:pt>
                <c:pt idx="1183">
                  <c:v>23.66</c:v>
                </c:pt>
                <c:pt idx="1184">
                  <c:v>23.68</c:v>
                </c:pt>
                <c:pt idx="1185">
                  <c:v>23.7</c:v>
                </c:pt>
                <c:pt idx="1186">
                  <c:v>23.72</c:v>
                </c:pt>
                <c:pt idx="1187">
                  <c:v>23.74</c:v>
                </c:pt>
                <c:pt idx="1188">
                  <c:v>23.76</c:v>
                </c:pt>
                <c:pt idx="1189">
                  <c:v>23.78</c:v>
                </c:pt>
                <c:pt idx="1190">
                  <c:v>23.8</c:v>
                </c:pt>
                <c:pt idx="1191">
                  <c:v>23.82</c:v>
                </c:pt>
                <c:pt idx="1192">
                  <c:v>23.84</c:v>
                </c:pt>
                <c:pt idx="1193">
                  <c:v>23.86</c:v>
                </c:pt>
                <c:pt idx="1194">
                  <c:v>23.88</c:v>
                </c:pt>
                <c:pt idx="1195">
                  <c:v>23.9</c:v>
                </c:pt>
                <c:pt idx="1196">
                  <c:v>23.92</c:v>
                </c:pt>
                <c:pt idx="1197">
                  <c:v>23.94</c:v>
                </c:pt>
                <c:pt idx="1198">
                  <c:v>23.96</c:v>
                </c:pt>
                <c:pt idx="1199">
                  <c:v>23.98</c:v>
                </c:pt>
                <c:pt idx="1200">
                  <c:v>24</c:v>
                </c:pt>
                <c:pt idx="1201">
                  <c:v>24.02</c:v>
                </c:pt>
                <c:pt idx="1202">
                  <c:v>24.04</c:v>
                </c:pt>
                <c:pt idx="1203">
                  <c:v>24.06</c:v>
                </c:pt>
                <c:pt idx="1204">
                  <c:v>24.08</c:v>
                </c:pt>
                <c:pt idx="1205">
                  <c:v>24.1</c:v>
                </c:pt>
                <c:pt idx="1206">
                  <c:v>24.12</c:v>
                </c:pt>
                <c:pt idx="1207">
                  <c:v>24.14</c:v>
                </c:pt>
                <c:pt idx="1208">
                  <c:v>24.16</c:v>
                </c:pt>
                <c:pt idx="1209">
                  <c:v>24.18</c:v>
                </c:pt>
                <c:pt idx="1210">
                  <c:v>24.2</c:v>
                </c:pt>
                <c:pt idx="1211">
                  <c:v>24.22</c:v>
                </c:pt>
                <c:pt idx="1212">
                  <c:v>24.24</c:v>
                </c:pt>
                <c:pt idx="1213">
                  <c:v>24.26</c:v>
                </c:pt>
                <c:pt idx="1214">
                  <c:v>24.28</c:v>
                </c:pt>
                <c:pt idx="1215">
                  <c:v>24.3</c:v>
                </c:pt>
                <c:pt idx="1216">
                  <c:v>24.32</c:v>
                </c:pt>
                <c:pt idx="1217">
                  <c:v>24.34</c:v>
                </c:pt>
                <c:pt idx="1218">
                  <c:v>24.36</c:v>
                </c:pt>
                <c:pt idx="1219">
                  <c:v>24.38</c:v>
                </c:pt>
                <c:pt idx="1220">
                  <c:v>24.4</c:v>
                </c:pt>
                <c:pt idx="1221">
                  <c:v>24.42</c:v>
                </c:pt>
                <c:pt idx="1222">
                  <c:v>24.44</c:v>
                </c:pt>
                <c:pt idx="1223">
                  <c:v>24.46</c:v>
                </c:pt>
                <c:pt idx="1224">
                  <c:v>24.48</c:v>
                </c:pt>
                <c:pt idx="1225">
                  <c:v>24.5</c:v>
                </c:pt>
                <c:pt idx="1226">
                  <c:v>24.52</c:v>
                </c:pt>
                <c:pt idx="1227">
                  <c:v>24.54</c:v>
                </c:pt>
                <c:pt idx="1228">
                  <c:v>24.56</c:v>
                </c:pt>
                <c:pt idx="1229">
                  <c:v>24.58</c:v>
                </c:pt>
                <c:pt idx="1230">
                  <c:v>24.6</c:v>
                </c:pt>
                <c:pt idx="1231">
                  <c:v>24.62</c:v>
                </c:pt>
                <c:pt idx="1232">
                  <c:v>24.64</c:v>
                </c:pt>
                <c:pt idx="1233">
                  <c:v>24.66</c:v>
                </c:pt>
                <c:pt idx="1234">
                  <c:v>24.68</c:v>
                </c:pt>
                <c:pt idx="1235">
                  <c:v>24.7</c:v>
                </c:pt>
                <c:pt idx="1236">
                  <c:v>24.72</c:v>
                </c:pt>
                <c:pt idx="1237">
                  <c:v>24.74</c:v>
                </c:pt>
                <c:pt idx="1238">
                  <c:v>24.76</c:v>
                </c:pt>
                <c:pt idx="1239">
                  <c:v>24.78</c:v>
                </c:pt>
                <c:pt idx="1240">
                  <c:v>24.8</c:v>
                </c:pt>
                <c:pt idx="1241">
                  <c:v>24.82</c:v>
                </c:pt>
                <c:pt idx="1242">
                  <c:v>24.84</c:v>
                </c:pt>
                <c:pt idx="1243">
                  <c:v>24.86</c:v>
                </c:pt>
                <c:pt idx="1244">
                  <c:v>24.88</c:v>
                </c:pt>
                <c:pt idx="1245">
                  <c:v>24.9</c:v>
                </c:pt>
                <c:pt idx="1246">
                  <c:v>24.92</c:v>
                </c:pt>
                <c:pt idx="1247">
                  <c:v>24.94</c:v>
                </c:pt>
                <c:pt idx="1248">
                  <c:v>24.96</c:v>
                </c:pt>
                <c:pt idx="1249">
                  <c:v>24.98</c:v>
                </c:pt>
                <c:pt idx="1250">
                  <c:v>25</c:v>
                </c:pt>
                <c:pt idx="1251">
                  <c:v>25.02</c:v>
                </c:pt>
                <c:pt idx="1252">
                  <c:v>25.04</c:v>
                </c:pt>
                <c:pt idx="1253">
                  <c:v>25.06</c:v>
                </c:pt>
                <c:pt idx="1254">
                  <c:v>25.08</c:v>
                </c:pt>
                <c:pt idx="1255">
                  <c:v>25.1</c:v>
                </c:pt>
                <c:pt idx="1256">
                  <c:v>25.12</c:v>
                </c:pt>
                <c:pt idx="1257">
                  <c:v>25.14</c:v>
                </c:pt>
                <c:pt idx="1258">
                  <c:v>25.16</c:v>
                </c:pt>
                <c:pt idx="1259">
                  <c:v>25.18</c:v>
                </c:pt>
                <c:pt idx="1260">
                  <c:v>25.2</c:v>
                </c:pt>
                <c:pt idx="1261">
                  <c:v>25.22</c:v>
                </c:pt>
                <c:pt idx="1262">
                  <c:v>25.24</c:v>
                </c:pt>
                <c:pt idx="1263">
                  <c:v>25.26</c:v>
                </c:pt>
                <c:pt idx="1264">
                  <c:v>25.28</c:v>
                </c:pt>
                <c:pt idx="1265">
                  <c:v>25.3</c:v>
                </c:pt>
                <c:pt idx="1266">
                  <c:v>25.32</c:v>
                </c:pt>
                <c:pt idx="1267">
                  <c:v>25.34</c:v>
                </c:pt>
                <c:pt idx="1268">
                  <c:v>25.36</c:v>
                </c:pt>
                <c:pt idx="1269">
                  <c:v>25.38</c:v>
                </c:pt>
                <c:pt idx="1270">
                  <c:v>25.4</c:v>
                </c:pt>
                <c:pt idx="1271">
                  <c:v>25.42</c:v>
                </c:pt>
                <c:pt idx="1272">
                  <c:v>25.44</c:v>
                </c:pt>
                <c:pt idx="1273">
                  <c:v>25.46</c:v>
                </c:pt>
                <c:pt idx="1274">
                  <c:v>25.48</c:v>
                </c:pt>
                <c:pt idx="1275">
                  <c:v>25.5</c:v>
                </c:pt>
                <c:pt idx="1276">
                  <c:v>25.52</c:v>
                </c:pt>
                <c:pt idx="1277">
                  <c:v>25.54</c:v>
                </c:pt>
                <c:pt idx="1278">
                  <c:v>25.56</c:v>
                </c:pt>
                <c:pt idx="1279">
                  <c:v>25.58</c:v>
                </c:pt>
                <c:pt idx="1280">
                  <c:v>25.6</c:v>
                </c:pt>
                <c:pt idx="1281">
                  <c:v>25.62</c:v>
                </c:pt>
                <c:pt idx="1282">
                  <c:v>25.64</c:v>
                </c:pt>
                <c:pt idx="1283">
                  <c:v>25.66</c:v>
                </c:pt>
                <c:pt idx="1284">
                  <c:v>25.68</c:v>
                </c:pt>
                <c:pt idx="1285">
                  <c:v>25.7</c:v>
                </c:pt>
                <c:pt idx="1286">
                  <c:v>25.72</c:v>
                </c:pt>
                <c:pt idx="1287">
                  <c:v>25.74</c:v>
                </c:pt>
                <c:pt idx="1288">
                  <c:v>25.76</c:v>
                </c:pt>
                <c:pt idx="1289">
                  <c:v>25.78</c:v>
                </c:pt>
                <c:pt idx="1290">
                  <c:v>25.8</c:v>
                </c:pt>
                <c:pt idx="1291">
                  <c:v>25.82</c:v>
                </c:pt>
                <c:pt idx="1292">
                  <c:v>25.84</c:v>
                </c:pt>
                <c:pt idx="1293">
                  <c:v>25.86</c:v>
                </c:pt>
                <c:pt idx="1294">
                  <c:v>25.88</c:v>
                </c:pt>
                <c:pt idx="1295">
                  <c:v>25.9</c:v>
                </c:pt>
                <c:pt idx="1296">
                  <c:v>25.92</c:v>
                </c:pt>
                <c:pt idx="1297">
                  <c:v>25.94</c:v>
                </c:pt>
                <c:pt idx="1298">
                  <c:v>25.96</c:v>
                </c:pt>
                <c:pt idx="1299">
                  <c:v>25.98</c:v>
                </c:pt>
                <c:pt idx="1300">
                  <c:v>26</c:v>
                </c:pt>
                <c:pt idx="1301">
                  <c:v>26.02</c:v>
                </c:pt>
                <c:pt idx="1302">
                  <c:v>26.04</c:v>
                </c:pt>
                <c:pt idx="1303">
                  <c:v>26.06</c:v>
                </c:pt>
                <c:pt idx="1304">
                  <c:v>26.08</c:v>
                </c:pt>
                <c:pt idx="1305">
                  <c:v>26.1</c:v>
                </c:pt>
                <c:pt idx="1306">
                  <c:v>26.12</c:v>
                </c:pt>
                <c:pt idx="1307">
                  <c:v>26.14</c:v>
                </c:pt>
                <c:pt idx="1308">
                  <c:v>26.16</c:v>
                </c:pt>
                <c:pt idx="1309">
                  <c:v>26.18</c:v>
                </c:pt>
                <c:pt idx="1310">
                  <c:v>26.2</c:v>
                </c:pt>
                <c:pt idx="1311">
                  <c:v>26.22</c:v>
                </c:pt>
                <c:pt idx="1312">
                  <c:v>26.24</c:v>
                </c:pt>
                <c:pt idx="1313">
                  <c:v>26.26</c:v>
                </c:pt>
                <c:pt idx="1314">
                  <c:v>26.28</c:v>
                </c:pt>
                <c:pt idx="1315">
                  <c:v>26.3</c:v>
                </c:pt>
                <c:pt idx="1316">
                  <c:v>26.32</c:v>
                </c:pt>
                <c:pt idx="1317">
                  <c:v>26.34</c:v>
                </c:pt>
                <c:pt idx="1318">
                  <c:v>26.36</c:v>
                </c:pt>
                <c:pt idx="1319">
                  <c:v>26.38</c:v>
                </c:pt>
                <c:pt idx="1320">
                  <c:v>26.4</c:v>
                </c:pt>
                <c:pt idx="1321">
                  <c:v>26.42</c:v>
                </c:pt>
                <c:pt idx="1322">
                  <c:v>26.44</c:v>
                </c:pt>
                <c:pt idx="1323">
                  <c:v>26.46</c:v>
                </c:pt>
                <c:pt idx="1324">
                  <c:v>26.48</c:v>
                </c:pt>
                <c:pt idx="1325">
                  <c:v>26.5</c:v>
                </c:pt>
                <c:pt idx="1326">
                  <c:v>26.52</c:v>
                </c:pt>
                <c:pt idx="1327">
                  <c:v>26.54</c:v>
                </c:pt>
                <c:pt idx="1328">
                  <c:v>26.56</c:v>
                </c:pt>
                <c:pt idx="1329">
                  <c:v>26.58</c:v>
                </c:pt>
                <c:pt idx="1330">
                  <c:v>26.6</c:v>
                </c:pt>
                <c:pt idx="1331">
                  <c:v>26.62</c:v>
                </c:pt>
                <c:pt idx="1332">
                  <c:v>26.64</c:v>
                </c:pt>
                <c:pt idx="1333">
                  <c:v>26.66</c:v>
                </c:pt>
                <c:pt idx="1334">
                  <c:v>26.68</c:v>
                </c:pt>
                <c:pt idx="1335">
                  <c:v>26.7</c:v>
                </c:pt>
                <c:pt idx="1336">
                  <c:v>26.72</c:v>
                </c:pt>
                <c:pt idx="1337">
                  <c:v>26.74</c:v>
                </c:pt>
                <c:pt idx="1338">
                  <c:v>26.76</c:v>
                </c:pt>
                <c:pt idx="1339">
                  <c:v>26.78</c:v>
                </c:pt>
                <c:pt idx="1340">
                  <c:v>26.8</c:v>
                </c:pt>
                <c:pt idx="1341">
                  <c:v>26.82</c:v>
                </c:pt>
                <c:pt idx="1342">
                  <c:v>26.84</c:v>
                </c:pt>
                <c:pt idx="1343">
                  <c:v>26.86</c:v>
                </c:pt>
                <c:pt idx="1344">
                  <c:v>26.88</c:v>
                </c:pt>
                <c:pt idx="1345">
                  <c:v>26.9</c:v>
                </c:pt>
                <c:pt idx="1346">
                  <c:v>26.92</c:v>
                </c:pt>
                <c:pt idx="1347">
                  <c:v>26.94</c:v>
                </c:pt>
                <c:pt idx="1348">
                  <c:v>26.96</c:v>
                </c:pt>
                <c:pt idx="1349">
                  <c:v>26.98</c:v>
                </c:pt>
                <c:pt idx="1350">
                  <c:v>27</c:v>
                </c:pt>
                <c:pt idx="1351">
                  <c:v>27.02</c:v>
                </c:pt>
                <c:pt idx="1352">
                  <c:v>27.04</c:v>
                </c:pt>
                <c:pt idx="1353">
                  <c:v>27.06</c:v>
                </c:pt>
                <c:pt idx="1354">
                  <c:v>27.08</c:v>
                </c:pt>
                <c:pt idx="1355">
                  <c:v>27.1</c:v>
                </c:pt>
                <c:pt idx="1356">
                  <c:v>27.12</c:v>
                </c:pt>
                <c:pt idx="1357">
                  <c:v>27.14</c:v>
                </c:pt>
                <c:pt idx="1358">
                  <c:v>27.16</c:v>
                </c:pt>
                <c:pt idx="1359">
                  <c:v>27.18</c:v>
                </c:pt>
                <c:pt idx="1360">
                  <c:v>27.2</c:v>
                </c:pt>
                <c:pt idx="1361">
                  <c:v>27.22</c:v>
                </c:pt>
                <c:pt idx="1362">
                  <c:v>27.24</c:v>
                </c:pt>
                <c:pt idx="1363">
                  <c:v>27.26</c:v>
                </c:pt>
                <c:pt idx="1364">
                  <c:v>27.28</c:v>
                </c:pt>
                <c:pt idx="1365">
                  <c:v>27.3</c:v>
                </c:pt>
                <c:pt idx="1366">
                  <c:v>27.32</c:v>
                </c:pt>
                <c:pt idx="1367">
                  <c:v>27.34</c:v>
                </c:pt>
                <c:pt idx="1368">
                  <c:v>27.36</c:v>
                </c:pt>
                <c:pt idx="1369">
                  <c:v>27.38</c:v>
                </c:pt>
                <c:pt idx="1370">
                  <c:v>27.4</c:v>
                </c:pt>
                <c:pt idx="1371">
                  <c:v>27.42</c:v>
                </c:pt>
                <c:pt idx="1372">
                  <c:v>27.44</c:v>
                </c:pt>
                <c:pt idx="1373">
                  <c:v>27.46</c:v>
                </c:pt>
                <c:pt idx="1374">
                  <c:v>27.48</c:v>
                </c:pt>
                <c:pt idx="1375">
                  <c:v>27.5</c:v>
                </c:pt>
                <c:pt idx="1376">
                  <c:v>27.52</c:v>
                </c:pt>
                <c:pt idx="1377">
                  <c:v>27.54</c:v>
                </c:pt>
                <c:pt idx="1378">
                  <c:v>27.56</c:v>
                </c:pt>
                <c:pt idx="1379">
                  <c:v>27.58</c:v>
                </c:pt>
                <c:pt idx="1380">
                  <c:v>27.6</c:v>
                </c:pt>
                <c:pt idx="1381">
                  <c:v>27.62</c:v>
                </c:pt>
                <c:pt idx="1382">
                  <c:v>27.64</c:v>
                </c:pt>
                <c:pt idx="1383">
                  <c:v>27.66</c:v>
                </c:pt>
                <c:pt idx="1384">
                  <c:v>27.68</c:v>
                </c:pt>
                <c:pt idx="1385">
                  <c:v>27.7</c:v>
                </c:pt>
                <c:pt idx="1386">
                  <c:v>27.72</c:v>
                </c:pt>
                <c:pt idx="1387">
                  <c:v>27.74</c:v>
                </c:pt>
                <c:pt idx="1388">
                  <c:v>27.76</c:v>
                </c:pt>
                <c:pt idx="1389">
                  <c:v>27.78</c:v>
                </c:pt>
                <c:pt idx="1390">
                  <c:v>27.8</c:v>
                </c:pt>
                <c:pt idx="1391">
                  <c:v>27.82</c:v>
                </c:pt>
                <c:pt idx="1392">
                  <c:v>27.84</c:v>
                </c:pt>
                <c:pt idx="1393">
                  <c:v>27.86</c:v>
                </c:pt>
                <c:pt idx="1394">
                  <c:v>27.88</c:v>
                </c:pt>
                <c:pt idx="1395">
                  <c:v>27.9</c:v>
                </c:pt>
                <c:pt idx="1396">
                  <c:v>27.92</c:v>
                </c:pt>
                <c:pt idx="1397">
                  <c:v>27.94</c:v>
                </c:pt>
                <c:pt idx="1398">
                  <c:v>27.96</c:v>
                </c:pt>
                <c:pt idx="1399">
                  <c:v>27.98</c:v>
                </c:pt>
                <c:pt idx="1400">
                  <c:v>28</c:v>
                </c:pt>
                <c:pt idx="1401">
                  <c:v>28.02</c:v>
                </c:pt>
                <c:pt idx="1402">
                  <c:v>28.04</c:v>
                </c:pt>
                <c:pt idx="1403">
                  <c:v>28.06</c:v>
                </c:pt>
                <c:pt idx="1404">
                  <c:v>28.08</c:v>
                </c:pt>
                <c:pt idx="1405">
                  <c:v>28.1</c:v>
                </c:pt>
                <c:pt idx="1406">
                  <c:v>28.12</c:v>
                </c:pt>
                <c:pt idx="1407">
                  <c:v>28.14</c:v>
                </c:pt>
                <c:pt idx="1408">
                  <c:v>28.16</c:v>
                </c:pt>
                <c:pt idx="1409">
                  <c:v>28.18</c:v>
                </c:pt>
                <c:pt idx="1410">
                  <c:v>28.2</c:v>
                </c:pt>
                <c:pt idx="1411">
                  <c:v>28.22</c:v>
                </c:pt>
                <c:pt idx="1412">
                  <c:v>28.24</c:v>
                </c:pt>
                <c:pt idx="1413">
                  <c:v>28.26</c:v>
                </c:pt>
                <c:pt idx="1414">
                  <c:v>28.28</c:v>
                </c:pt>
                <c:pt idx="1415">
                  <c:v>28.3</c:v>
                </c:pt>
                <c:pt idx="1416">
                  <c:v>28.32</c:v>
                </c:pt>
                <c:pt idx="1417">
                  <c:v>28.34</c:v>
                </c:pt>
                <c:pt idx="1418">
                  <c:v>28.36</c:v>
                </c:pt>
                <c:pt idx="1419">
                  <c:v>28.38</c:v>
                </c:pt>
                <c:pt idx="1420">
                  <c:v>28.4</c:v>
                </c:pt>
                <c:pt idx="1421">
                  <c:v>28.42</c:v>
                </c:pt>
                <c:pt idx="1422">
                  <c:v>28.44</c:v>
                </c:pt>
                <c:pt idx="1423">
                  <c:v>28.46</c:v>
                </c:pt>
                <c:pt idx="1424">
                  <c:v>28.48</c:v>
                </c:pt>
                <c:pt idx="1425">
                  <c:v>28.5</c:v>
                </c:pt>
                <c:pt idx="1426">
                  <c:v>28.52</c:v>
                </c:pt>
                <c:pt idx="1427">
                  <c:v>28.54</c:v>
                </c:pt>
                <c:pt idx="1428">
                  <c:v>28.56</c:v>
                </c:pt>
                <c:pt idx="1429">
                  <c:v>28.58</c:v>
                </c:pt>
                <c:pt idx="1430">
                  <c:v>28.6</c:v>
                </c:pt>
                <c:pt idx="1431">
                  <c:v>28.62</c:v>
                </c:pt>
                <c:pt idx="1432">
                  <c:v>28.64</c:v>
                </c:pt>
                <c:pt idx="1433">
                  <c:v>28.66</c:v>
                </c:pt>
                <c:pt idx="1434">
                  <c:v>28.68</c:v>
                </c:pt>
                <c:pt idx="1435">
                  <c:v>28.7</c:v>
                </c:pt>
                <c:pt idx="1436">
                  <c:v>28.72</c:v>
                </c:pt>
                <c:pt idx="1437">
                  <c:v>28.74</c:v>
                </c:pt>
                <c:pt idx="1438">
                  <c:v>28.76</c:v>
                </c:pt>
                <c:pt idx="1439">
                  <c:v>28.78</c:v>
                </c:pt>
                <c:pt idx="1440">
                  <c:v>28.8</c:v>
                </c:pt>
                <c:pt idx="1441">
                  <c:v>28.82</c:v>
                </c:pt>
                <c:pt idx="1442">
                  <c:v>28.84</c:v>
                </c:pt>
                <c:pt idx="1443">
                  <c:v>28.86</c:v>
                </c:pt>
                <c:pt idx="1444">
                  <c:v>28.88</c:v>
                </c:pt>
                <c:pt idx="1445">
                  <c:v>28.9</c:v>
                </c:pt>
                <c:pt idx="1446">
                  <c:v>28.92</c:v>
                </c:pt>
                <c:pt idx="1447">
                  <c:v>28.94</c:v>
                </c:pt>
                <c:pt idx="1448">
                  <c:v>28.96</c:v>
                </c:pt>
                <c:pt idx="1449">
                  <c:v>28.98</c:v>
                </c:pt>
                <c:pt idx="1450">
                  <c:v>29</c:v>
                </c:pt>
                <c:pt idx="1451">
                  <c:v>29.02</c:v>
                </c:pt>
                <c:pt idx="1452">
                  <c:v>29.04</c:v>
                </c:pt>
                <c:pt idx="1453">
                  <c:v>29.06</c:v>
                </c:pt>
                <c:pt idx="1454">
                  <c:v>29.08</c:v>
                </c:pt>
                <c:pt idx="1455">
                  <c:v>29.1</c:v>
                </c:pt>
                <c:pt idx="1456">
                  <c:v>29.12</c:v>
                </c:pt>
                <c:pt idx="1457">
                  <c:v>29.14</c:v>
                </c:pt>
                <c:pt idx="1458">
                  <c:v>29.16</c:v>
                </c:pt>
                <c:pt idx="1459">
                  <c:v>29.18</c:v>
                </c:pt>
                <c:pt idx="1460">
                  <c:v>29.2</c:v>
                </c:pt>
                <c:pt idx="1461">
                  <c:v>29.22</c:v>
                </c:pt>
                <c:pt idx="1462">
                  <c:v>29.24</c:v>
                </c:pt>
                <c:pt idx="1463">
                  <c:v>29.26</c:v>
                </c:pt>
                <c:pt idx="1464">
                  <c:v>29.28</c:v>
                </c:pt>
                <c:pt idx="1465">
                  <c:v>29.3</c:v>
                </c:pt>
                <c:pt idx="1466">
                  <c:v>29.32</c:v>
                </c:pt>
                <c:pt idx="1467">
                  <c:v>29.34</c:v>
                </c:pt>
                <c:pt idx="1468">
                  <c:v>29.36</c:v>
                </c:pt>
                <c:pt idx="1469">
                  <c:v>29.38</c:v>
                </c:pt>
                <c:pt idx="1470">
                  <c:v>29.4</c:v>
                </c:pt>
                <c:pt idx="1471">
                  <c:v>29.42</c:v>
                </c:pt>
                <c:pt idx="1472">
                  <c:v>29.44</c:v>
                </c:pt>
                <c:pt idx="1473">
                  <c:v>29.46</c:v>
                </c:pt>
                <c:pt idx="1474">
                  <c:v>29.48</c:v>
                </c:pt>
                <c:pt idx="1475">
                  <c:v>29.5</c:v>
                </c:pt>
                <c:pt idx="1476">
                  <c:v>29.52</c:v>
                </c:pt>
                <c:pt idx="1477">
                  <c:v>29.54</c:v>
                </c:pt>
                <c:pt idx="1478">
                  <c:v>29.56</c:v>
                </c:pt>
                <c:pt idx="1479">
                  <c:v>29.58</c:v>
                </c:pt>
                <c:pt idx="1480">
                  <c:v>29.6</c:v>
                </c:pt>
                <c:pt idx="1481">
                  <c:v>29.62</c:v>
                </c:pt>
                <c:pt idx="1482">
                  <c:v>29.64</c:v>
                </c:pt>
                <c:pt idx="1483">
                  <c:v>29.66</c:v>
                </c:pt>
                <c:pt idx="1484">
                  <c:v>29.68</c:v>
                </c:pt>
                <c:pt idx="1485">
                  <c:v>29.7</c:v>
                </c:pt>
                <c:pt idx="1486">
                  <c:v>29.72</c:v>
                </c:pt>
                <c:pt idx="1487">
                  <c:v>29.74</c:v>
                </c:pt>
                <c:pt idx="1488">
                  <c:v>29.76</c:v>
                </c:pt>
                <c:pt idx="1489">
                  <c:v>29.78</c:v>
                </c:pt>
                <c:pt idx="1490">
                  <c:v>29.8</c:v>
                </c:pt>
                <c:pt idx="1491">
                  <c:v>29.82</c:v>
                </c:pt>
                <c:pt idx="1492">
                  <c:v>29.84</c:v>
                </c:pt>
                <c:pt idx="1493">
                  <c:v>29.86</c:v>
                </c:pt>
                <c:pt idx="1494">
                  <c:v>29.88</c:v>
                </c:pt>
                <c:pt idx="1495">
                  <c:v>29.9</c:v>
                </c:pt>
                <c:pt idx="1496">
                  <c:v>29.92</c:v>
                </c:pt>
                <c:pt idx="1497">
                  <c:v>29.94</c:v>
                </c:pt>
                <c:pt idx="1498">
                  <c:v>29.96</c:v>
                </c:pt>
                <c:pt idx="1499">
                  <c:v>29.98</c:v>
                </c:pt>
                <c:pt idx="1500">
                  <c:v>30</c:v>
                </c:pt>
                <c:pt idx="1501">
                  <c:v>30.02</c:v>
                </c:pt>
                <c:pt idx="1502">
                  <c:v>30.04</c:v>
                </c:pt>
                <c:pt idx="1503">
                  <c:v>30.06</c:v>
                </c:pt>
                <c:pt idx="1504">
                  <c:v>30.08</c:v>
                </c:pt>
                <c:pt idx="1505">
                  <c:v>30.1</c:v>
                </c:pt>
                <c:pt idx="1506">
                  <c:v>30.12</c:v>
                </c:pt>
                <c:pt idx="1507">
                  <c:v>30.14</c:v>
                </c:pt>
                <c:pt idx="1508">
                  <c:v>30.16</c:v>
                </c:pt>
                <c:pt idx="1509">
                  <c:v>30.18</c:v>
                </c:pt>
                <c:pt idx="1510">
                  <c:v>30.2</c:v>
                </c:pt>
                <c:pt idx="1511">
                  <c:v>30.22</c:v>
                </c:pt>
                <c:pt idx="1512">
                  <c:v>30.24</c:v>
                </c:pt>
                <c:pt idx="1513">
                  <c:v>30.26</c:v>
                </c:pt>
                <c:pt idx="1514">
                  <c:v>30.28</c:v>
                </c:pt>
                <c:pt idx="1515">
                  <c:v>30.3</c:v>
                </c:pt>
                <c:pt idx="1516">
                  <c:v>30.32</c:v>
                </c:pt>
                <c:pt idx="1517">
                  <c:v>30.34</c:v>
                </c:pt>
                <c:pt idx="1518">
                  <c:v>30.36</c:v>
                </c:pt>
                <c:pt idx="1519">
                  <c:v>30.38</c:v>
                </c:pt>
                <c:pt idx="1520">
                  <c:v>30.4</c:v>
                </c:pt>
                <c:pt idx="1521">
                  <c:v>30.42</c:v>
                </c:pt>
                <c:pt idx="1522">
                  <c:v>30.44</c:v>
                </c:pt>
                <c:pt idx="1523">
                  <c:v>30.46</c:v>
                </c:pt>
                <c:pt idx="1524">
                  <c:v>30.48</c:v>
                </c:pt>
                <c:pt idx="1525">
                  <c:v>30.5</c:v>
                </c:pt>
                <c:pt idx="1526">
                  <c:v>30.52</c:v>
                </c:pt>
                <c:pt idx="1527">
                  <c:v>30.54</c:v>
                </c:pt>
                <c:pt idx="1528">
                  <c:v>30.56</c:v>
                </c:pt>
                <c:pt idx="1529">
                  <c:v>30.58</c:v>
                </c:pt>
                <c:pt idx="1530">
                  <c:v>30.6</c:v>
                </c:pt>
                <c:pt idx="1531">
                  <c:v>30.62</c:v>
                </c:pt>
                <c:pt idx="1532">
                  <c:v>30.64</c:v>
                </c:pt>
                <c:pt idx="1533">
                  <c:v>30.66</c:v>
                </c:pt>
                <c:pt idx="1534">
                  <c:v>30.68</c:v>
                </c:pt>
                <c:pt idx="1535">
                  <c:v>30.7</c:v>
                </c:pt>
                <c:pt idx="1536">
                  <c:v>30.72</c:v>
                </c:pt>
                <c:pt idx="1537">
                  <c:v>30.74</c:v>
                </c:pt>
                <c:pt idx="1538">
                  <c:v>30.76</c:v>
                </c:pt>
                <c:pt idx="1539">
                  <c:v>30.78</c:v>
                </c:pt>
                <c:pt idx="1540">
                  <c:v>30.8</c:v>
                </c:pt>
                <c:pt idx="1541">
                  <c:v>30.82</c:v>
                </c:pt>
                <c:pt idx="1542">
                  <c:v>30.84</c:v>
                </c:pt>
                <c:pt idx="1543">
                  <c:v>30.86</c:v>
                </c:pt>
                <c:pt idx="1544">
                  <c:v>30.88</c:v>
                </c:pt>
                <c:pt idx="1545">
                  <c:v>30.9</c:v>
                </c:pt>
                <c:pt idx="1546">
                  <c:v>30.92</c:v>
                </c:pt>
                <c:pt idx="1547">
                  <c:v>30.94</c:v>
                </c:pt>
                <c:pt idx="1548">
                  <c:v>30.96</c:v>
                </c:pt>
                <c:pt idx="1549">
                  <c:v>30.98</c:v>
                </c:pt>
                <c:pt idx="1550">
                  <c:v>31</c:v>
                </c:pt>
                <c:pt idx="1551">
                  <c:v>31.02</c:v>
                </c:pt>
                <c:pt idx="1552">
                  <c:v>31.04</c:v>
                </c:pt>
                <c:pt idx="1553">
                  <c:v>31.06</c:v>
                </c:pt>
                <c:pt idx="1554">
                  <c:v>31.08</c:v>
                </c:pt>
                <c:pt idx="1555">
                  <c:v>31.1</c:v>
                </c:pt>
                <c:pt idx="1556">
                  <c:v>31.12</c:v>
                </c:pt>
                <c:pt idx="1557">
                  <c:v>31.14</c:v>
                </c:pt>
                <c:pt idx="1558">
                  <c:v>31.16</c:v>
                </c:pt>
                <c:pt idx="1559">
                  <c:v>31.18</c:v>
                </c:pt>
              </c:numCache>
            </c:numRef>
          </c:xVal>
          <c:yVal>
            <c:numRef>
              <c:f>'EL CENTRO '!$G$3:$G$1562</c:f>
              <c:numCache>
                <c:formatCode>General</c:formatCode>
                <c:ptCount val="1560"/>
                <c:pt idx="0">
                  <c:v>-6.3E-3</c:v>
                </c:pt>
                <c:pt idx="1">
                  <c:v>-3.6021999999999994E-3</c:v>
                </c:pt>
                <c:pt idx="2">
                  <c:v>-8.711735999999984E-4</c:v>
                </c:pt>
                <c:pt idx="3">
                  <c:v>-4.0696931167999995E-3</c:v>
                </c:pt>
                <c:pt idx="4">
                  <c:v>-7.229376316198393E-3</c:v>
                </c:pt>
                <c:pt idx="5">
                  <c:v>-1.0292306999802405E-2</c:v>
                </c:pt>
                <c:pt idx="6">
                  <c:v>-5.8917299994088266E-3</c:v>
                </c:pt>
                <c:pt idx="7">
                  <c:v>-1.4204522390222889E-3</c:v>
                </c:pt>
                <c:pt idx="8">
                  <c:v>3.0678709482325093E-3</c:v>
                </c:pt>
                <c:pt idx="9">
                  <c:v>-1.4906203158915967E-3</c:v>
                </c:pt>
                <c:pt idx="10">
                  <c:v>-6.0312241362247606E-3</c:v>
                </c:pt>
                <c:pt idx="11">
                  <c:v>-1.0499453266923454E-2</c:v>
                </c:pt>
                <c:pt idx="12">
                  <c:v>-3.5516889584189817E-3</c:v>
                </c:pt>
                <c:pt idx="13">
                  <c:v>3.4386956175865798E-3</c:v>
                </c:pt>
                <c:pt idx="14">
                  <c:v>7.9781584618094942E-4</c:v>
                </c:pt>
                <c:pt idx="15">
                  <c:v>3.3973622846212425E-3</c:v>
                </c:pt>
                <c:pt idx="16">
                  <c:v>5.9661403756461557E-3</c:v>
                </c:pt>
                <c:pt idx="17">
                  <c:v>2.2333247821631898E-3</c:v>
                </c:pt>
                <c:pt idx="18">
                  <c:v>-1.5262907087057096E-3</c:v>
                </c:pt>
                <c:pt idx="19">
                  <c:v>-5.2675907110702434E-3</c:v>
                </c:pt>
                <c:pt idx="20">
                  <c:v>-8.9456796249015799E-3</c:v>
                </c:pt>
                <c:pt idx="21">
                  <c:v>1.2273579616765427E-2</c:v>
                </c:pt>
                <c:pt idx="22">
                  <c:v>3.3355555903031686E-2</c:v>
                </c:pt>
                <c:pt idx="23">
                  <c:v>1.9387265518461053E-2</c:v>
                </c:pt>
                <c:pt idx="24">
                  <c:v>5.1863279476695497E-3</c:v>
                </c:pt>
                <c:pt idx="25">
                  <c:v>3.8831544415057436E-3</c:v>
                </c:pt>
                <c:pt idx="26">
                  <c:v>-7.5966169179563217E-3</c:v>
                </c:pt>
                <c:pt idx="27">
                  <c:v>-1.8995228874402723E-2</c:v>
                </c:pt>
                <c:pt idx="28">
                  <c:v>-3.0155898084356498E-2</c:v>
                </c:pt>
                <c:pt idx="29">
                  <c:v>-1.5154696517297936E-2</c:v>
                </c:pt>
                <c:pt idx="30">
                  <c:v>1.8361407968478819E-5</c:v>
                </c:pt>
                <c:pt idx="31">
                  <c:v>9.911989963388209E-4</c:v>
                </c:pt>
                <c:pt idx="32">
                  <c:v>1.9621421967536048E-3</c:v>
                </c:pt>
                <c:pt idx="33">
                  <c:v>2.8995396908068831E-3</c:v>
                </c:pt>
                <c:pt idx="34">
                  <c:v>1.7242142708570649E-2</c:v>
                </c:pt>
                <c:pt idx="35">
                  <c:v>3.1377840013831759E-2</c:v>
                </c:pt>
                <c:pt idx="36">
                  <c:v>4.51370032389267E-2</c:v>
                </c:pt>
                <c:pt idx="37">
                  <c:v>4.5804522425154634E-2</c:v>
                </c:pt>
                <c:pt idx="38">
                  <c:v>6.8272387342280721E-2</c:v>
                </c:pt>
                <c:pt idx="39">
                  <c:v>5.4450983611299027E-2</c:v>
                </c:pt>
                <c:pt idx="40">
                  <c:v>3.9986168076982312E-2</c:v>
                </c:pt>
                <c:pt idx="41">
                  <c:v>3.5471518525741444E-2</c:v>
                </c:pt>
                <c:pt idx="42">
                  <c:v>3.0531210752191822E-2</c:v>
                </c:pt>
                <c:pt idx="43">
                  <c:v>2.5224528449615893E-2</c:v>
                </c:pt>
                <c:pt idx="44">
                  <c:v>1.9615151805644451E-2</c:v>
                </c:pt>
                <c:pt idx="45">
                  <c:v>2.872039334000584E-2</c:v>
                </c:pt>
                <c:pt idx="46">
                  <c:v>3.7480990154286201E-2</c:v>
                </c:pt>
                <c:pt idx="47">
                  <c:v>4.579181508671535E-2</c:v>
                </c:pt>
                <c:pt idx="48">
                  <c:v>5.3553138238104356E-2</c:v>
                </c:pt>
                <c:pt idx="49">
                  <c:v>3.3971823730635717E-2</c:v>
                </c:pt>
                <c:pt idx="50">
                  <c:v>1.3992847338400938E-2</c:v>
                </c:pt>
                <c:pt idx="51">
                  <c:v>-6.154043221896408E-3</c:v>
                </c:pt>
                <c:pt idx="52">
                  <c:v>-1.2527085263530201E-2</c:v>
                </c:pt>
                <c:pt idx="53">
                  <c:v>-1.8739802282002588E-2</c:v>
                </c:pt>
                <c:pt idx="54">
                  <c:v>-4.4077641673090751E-2</c:v>
                </c:pt>
                <c:pt idx="55">
                  <c:v>-6.8886549364101504E-2</c:v>
                </c:pt>
                <c:pt idx="56">
                  <c:v>-9.2868818462743391E-2</c:v>
                </c:pt>
                <c:pt idx="57">
                  <c:v>-0.1157366617398313</c:v>
                </c:pt>
                <c:pt idx="58">
                  <c:v>-0.13721566507604133</c:v>
                </c:pt>
                <c:pt idx="59">
                  <c:v>-0.15704808043133989</c:v>
                </c:pt>
                <c:pt idx="60">
                  <c:v>-0.17499591882145971</c:v>
                </c:pt>
                <c:pt idx="61">
                  <c:v>-0.12855380618572451</c:v>
                </c:pt>
                <c:pt idx="62">
                  <c:v>-8.0579047875763574E-2</c:v>
                </c:pt>
                <c:pt idx="63">
                  <c:v>-3.1627340991289457E-2</c:v>
                </c:pt>
                <c:pt idx="64">
                  <c:v>1.7703893985080179E-2</c:v>
                </c:pt>
                <c:pt idx="65">
                  <c:v>6.6812682233629253E-2</c:v>
                </c:pt>
                <c:pt idx="66">
                  <c:v>0.1151297182953718</c:v>
                </c:pt>
                <c:pt idx="67">
                  <c:v>7.564519773757343E-2</c:v>
                </c:pt>
                <c:pt idx="68">
                  <c:v>3.5262934806921747E-2</c:v>
                </c:pt>
                <c:pt idx="69">
                  <c:v>4.0297516658588536E-2</c:v>
                </c:pt>
                <c:pt idx="70">
                  <c:v>4.4858528310351024E-2</c:v>
                </c:pt>
                <c:pt idx="71">
                  <c:v>4.8881237622389398E-2</c:v>
                </c:pt>
                <c:pt idx="72">
                  <c:v>4.7837372082959392E-2</c:v>
                </c:pt>
                <c:pt idx="73">
                  <c:v>4.6219458078534316E-2</c:v>
                </c:pt>
                <c:pt idx="74">
                  <c:v>4.8746910577165653E-2</c:v>
                </c:pt>
                <c:pt idx="75">
                  <c:v>5.0679400148872567E-2</c:v>
                </c:pt>
                <c:pt idx="76">
                  <c:v>8.0023736918793151E-2</c:v>
                </c:pt>
                <c:pt idx="77">
                  <c:v>2.4777788845686276E-2</c:v>
                </c:pt>
                <c:pt idx="78">
                  <c:v>-3.0775492693568156E-2</c:v>
                </c:pt>
                <c:pt idx="79">
                  <c:v>-8.5949468320499448E-2</c:v>
                </c:pt>
                <c:pt idx="80">
                  <c:v>-0.14009205032758507</c:v>
                </c:pt>
                <c:pt idx="81">
                  <c:v>-0.19256352773073873</c:v>
                </c:pt>
                <c:pt idx="82">
                  <c:v>-0.24271424280112477</c:v>
                </c:pt>
                <c:pt idx="83">
                  <c:v>-0.28995238695789671</c:v>
                </c:pt>
                <c:pt idx="84">
                  <c:v>-0.26264110247117389</c:v>
                </c:pt>
                <c:pt idx="85">
                  <c:v>-0.23216812475479609</c:v>
                </c:pt>
                <c:pt idx="86">
                  <c:v>-0.19890912954136147</c:v>
                </c:pt>
                <c:pt idx="87">
                  <c:v>-0.1632732247734304</c:v>
                </c:pt>
                <c:pt idx="88">
                  <c:v>-0.12566804130821868</c:v>
                </c:pt>
                <c:pt idx="89">
                  <c:v>-0.12094484134730714</c:v>
                </c:pt>
                <c:pt idx="90">
                  <c:v>-0.11478030329023026</c:v>
                </c:pt>
                <c:pt idx="91">
                  <c:v>-4.6318401593668311E-2</c:v>
                </c:pt>
                <c:pt idx="92">
                  <c:v>2.2699320922018717E-2</c:v>
                </c:pt>
                <c:pt idx="93">
                  <c:v>9.1434651586640589E-2</c:v>
                </c:pt>
                <c:pt idx="94">
                  <c:v>0.15908276643221808</c:v>
                </c:pt>
                <c:pt idx="95">
                  <c:v>0.22482188808061299</c:v>
                </c:pt>
                <c:pt idx="96">
                  <c:v>0.28786314707203919</c:v>
                </c:pt>
                <c:pt idx="97">
                  <c:v>0.34744004829859998</c:v>
                </c:pt>
                <c:pt idx="98">
                  <c:v>0.40285766894558417</c:v>
                </c:pt>
                <c:pt idx="99">
                  <c:v>0.45344099756521294</c:v>
                </c:pt>
                <c:pt idx="100">
                  <c:v>0.49857303421405991</c:v>
                </c:pt>
                <c:pt idx="101">
                  <c:v>0.53773219445234788</c:v>
                </c:pt>
                <c:pt idx="102">
                  <c:v>0.45675856835719791</c:v>
                </c:pt>
                <c:pt idx="103">
                  <c:v>0.37030383944177192</c:v>
                </c:pt>
                <c:pt idx="104">
                  <c:v>0.27941546445303578</c:v>
                </c:pt>
                <c:pt idx="105">
                  <c:v>0.18516410389086099</c:v>
                </c:pt>
                <c:pt idx="106">
                  <c:v>8.8690774082001822E-2</c:v>
                </c:pt>
                <c:pt idx="107">
                  <c:v>-8.8468450158463198E-3</c:v>
                </c:pt>
                <c:pt idx="108">
                  <c:v>-0.10627830197350106</c:v>
                </c:pt>
                <c:pt idx="109">
                  <c:v>-0.20243441930747444</c:v>
                </c:pt>
                <c:pt idx="110">
                  <c:v>-0.296161323609758</c:v>
                </c:pt>
                <c:pt idx="111">
                  <c:v>-0.25133429202872398</c:v>
                </c:pt>
                <c:pt idx="112">
                  <c:v>-0.20348124894334621</c:v>
                </c:pt>
                <c:pt idx="113">
                  <c:v>-0.15319643087064794</c:v>
                </c:pt>
                <c:pt idx="114">
                  <c:v>-0.10107325562750129</c:v>
                </c:pt>
                <c:pt idx="115">
                  <c:v>-4.7737201316823838E-2</c:v>
                </c:pt>
                <c:pt idx="116">
                  <c:v>6.1716994096511994E-3</c:v>
                </c:pt>
                <c:pt idx="117">
                  <c:v>6.0006539743214564E-2</c:v>
                </c:pt>
                <c:pt idx="118">
                  <c:v>0.11313130159985862</c:v>
                </c:pt>
                <c:pt idx="119">
                  <c:v>0.16488848783730198</c:v>
                </c:pt>
                <c:pt idx="120">
                  <c:v>-0.1469529877793003</c:v>
                </c:pt>
                <c:pt idx="121">
                  <c:v>-0.45703102754254993</c:v>
                </c:pt>
                <c:pt idx="122">
                  <c:v>-0.39923469497528613</c:v>
                </c:pt>
                <c:pt idx="123">
                  <c:v>-0.33665754606832526</c:v>
                </c:pt>
                <c:pt idx="124">
                  <c:v>-0.27003050660854472</c:v>
                </c:pt>
                <c:pt idx="125">
                  <c:v>-0.20016310106945417</c:v>
                </c:pt>
                <c:pt idx="126">
                  <c:v>-0.12789373831753775</c:v>
                </c:pt>
                <c:pt idx="127">
                  <c:v>-0.18456965070580553</c:v>
                </c:pt>
                <c:pt idx="128">
                  <c:v>-0.23903072728560834</c:v>
                </c:pt>
                <c:pt idx="129">
                  <c:v>-0.29061343513797849</c:v>
                </c:pt>
                <c:pt idx="130">
                  <c:v>-0.33871878176869968</c:v>
                </c:pt>
                <c:pt idx="131">
                  <c:v>-0.30099950301818801</c:v>
                </c:pt>
                <c:pt idx="132">
                  <c:v>-0.2596582302314635</c:v>
                </c:pt>
                <c:pt idx="133">
                  <c:v>-0.20002105868196238</c:v>
                </c:pt>
                <c:pt idx="134">
                  <c:v>-0.13798363442827563</c:v>
                </c:pt>
                <c:pt idx="135">
                  <c:v>-7.4290406561450487E-2</c:v>
                </c:pt>
                <c:pt idx="136">
                  <c:v>-9.7056938158873816E-3</c:v>
                </c:pt>
                <c:pt idx="137">
                  <c:v>5.4995487255466179E-2</c:v>
                </c:pt>
                <c:pt idx="138">
                  <c:v>0.11903672247975342</c:v>
                </c:pt>
                <c:pt idx="139">
                  <c:v>0.12288951703428359</c:v>
                </c:pt>
                <c:pt idx="140">
                  <c:v>0.12527763738440786</c:v>
                </c:pt>
                <c:pt idx="141">
                  <c:v>0.12615242608591312</c:v>
                </c:pt>
                <c:pt idx="142">
                  <c:v>0.13051338567438875</c:v>
                </c:pt>
                <c:pt idx="143">
                  <c:v>0.13330818463476879</c:v>
                </c:pt>
                <c:pt idx="144">
                  <c:v>0.13451328537953181</c:v>
                </c:pt>
                <c:pt idx="145">
                  <c:v>0.20011422669974008</c:v>
                </c:pt>
                <c:pt idx="146">
                  <c:v>0.26331379729956345</c:v>
                </c:pt>
                <c:pt idx="147">
                  <c:v>0.32335360233178012</c:v>
                </c:pt>
                <c:pt idx="148">
                  <c:v>0.37952316413601866</c:v>
                </c:pt>
                <c:pt idx="149">
                  <c:v>0.34194844797062574</c:v>
                </c:pt>
                <c:pt idx="150">
                  <c:v>0.30026035042958821</c:v>
                </c:pt>
                <c:pt idx="151">
                  <c:v>0.25497912868339706</c:v>
                </c:pt>
                <c:pt idx="152">
                  <c:v>0.29073815739300013</c:v>
                </c:pt>
                <c:pt idx="153">
                  <c:v>0.32300832821388104</c:v>
                </c:pt>
                <c:pt idx="154">
                  <c:v>0.35141239909619765</c:v>
                </c:pt>
                <c:pt idx="155">
                  <c:v>0.37558952118935812</c:v>
                </c:pt>
                <c:pt idx="156">
                  <c:v>0.39525956902825965</c:v>
                </c:pt>
                <c:pt idx="157">
                  <c:v>0.32924650203880901</c:v>
                </c:pt>
                <c:pt idx="158">
                  <c:v>0.25928247702490176</c:v>
                </c:pt>
                <c:pt idx="159">
                  <c:v>0.18620706228669084</c:v>
                </c:pt>
                <c:pt idx="160">
                  <c:v>0.11090716280104081</c:v>
                </c:pt>
                <c:pt idx="161">
                  <c:v>0.14501637736177764</c:v>
                </c:pt>
                <c:pt idx="162">
                  <c:v>0.17738539539417386</c:v>
                </c:pt>
                <c:pt idx="163">
                  <c:v>0.20762578868184034</c:v>
                </c:pt>
                <c:pt idx="164">
                  <c:v>8.4744672505323873E-2</c:v>
                </c:pt>
                <c:pt idx="165">
                  <c:v>-3.9143379741257263E-2</c:v>
                </c:pt>
                <c:pt idx="166">
                  <c:v>-0.16257171143093826</c:v>
                </c:pt>
                <c:pt idx="167">
                  <c:v>-0.28403918258345856</c:v>
                </c:pt>
                <c:pt idx="168">
                  <c:v>-0.40210818354496303</c:v>
                </c:pt>
                <c:pt idx="169">
                  <c:v>-0.36330188630393639</c:v>
                </c:pt>
                <c:pt idx="170">
                  <c:v>-0.32013596642726549</c:v>
                </c:pt>
                <c:pt idx="171">
                  <c:v>-0.27312841495346318</c:v>
                </c:pt>
                <c:pt idx="172">
                  <c:v>-0.22284332250022651</c:v>
                </c:pt>
                <c:pt idx="173">
                  <c:v>-0.30852411017698222</c:v>
                </c:pt>
                <c:pt idx="174">
                  <c:v>-0.39051260853160702</c:v>
                </c:pt>
                <c:pt idx="175">
                  <c:v>-0.46781495558386071</c:v>
                </c:pt>
                <c:pt idx="176">
                  <c:v>-0.53950352316909678</c:v>
                </c:pt>
                <c:pt idx="177">
                  <c:v>-0.47785804847631524</c:v>
                </c:pt>
                <c:pt idx="178">
                  <c:v>-0.41047827720181673</c:v>
                </c:pt>
                <c:pt idx="179">
                  <c:v>-0.33818276660089064</c:v>
                </c:pt>
                <c:pt idx="180">
                  <c:v>-0.34045906280076066</c:v>
                </c:pt>
                <c:pt idx="181">
                  <c:v>-0.33864985024701766</c:v>
                </c:pt>
                <c:pt idx="182">
                  <c:v>-0.3327868394903139</c:v>
                </c:pt>
                <c:pt idx="183">
                  <c:v>-0.32292038665972722</c:v>
                </c:pt>
                <c:pt idx="184">
                  <c:v>-0.24529888918921675</c:v>
                </c:pt>
                <c:pt idx="185">
                  <c:v>-0.16474380504843608</c:v>
                </c:pt>
                <c:pt idx="186">
                  <c:v>-8.2211795247078043E-2</c:v>
                </c:pt>
                <c:pt idx="187">
                  <c:v>-7.3943243902757944E-2</c:v>
                </c:pt>
                <c:pt idx="188">
                  <c:v>-6.4787373631600337E-2</c:v>
                </c:pt>
                <c:pt idx="189">
                  <c:v>-3.932405487686514E-2</c:v>
                </c:pt>
                <c:pt idx="190">
                  <c:v>-1.3388847463607348E-2</c:v>
                </c:pt>
                <c:pt idx="191">
                  <c:v>1.2697026119214746E-2</c:v>
                </c:pt>
                <c:pt idx="192">
                  <c:v>0.10694053538860522</c:v>
                </c:pt>
                <c:pt idx="193">
                  <c:v>0.19989075823333058</c:v>
                </c:pt>
                <c:pt idx="194">
                  <c:v>0.29045229197925942</c:v>
                </c:pt>
                <c:pt idx="195">
                  <c:v>0.37752839822143519</c:v>
                </c:pt>
                <c:pt idx="196">
                  <c:v>0.36441416368495572</c:v>
                </c:pt>
                <c:pt idx="197">
                  <c:v>0.34692695918425542</c:v>
                </c:pt>
                <c:pt idx="198">
                  <c:v>0.32528663117334028</c:v>
                </c:pt>
                <c:pt idx="199">
                  <c:v>0.29973286358835927</c:v>
                </c:pt>
                <c:pt idx="200">
                  <c:v>0.27058230164030572</c:v>
                </c:pt>
                <c:pt idx="201">
                  <c:v>0.31251475207256724</c:v>
                </c:pt>
                <c:pt idx="202">
                  <c:v>0.3506970254799589</c:v>
                </c:pt>
                <c:pt idx="203">
                  <c:v>0.33066093458159179</c:v>
                </c:pt>
                <c:pt idx="204">
                  <c:v>0.30664691246825093</c:v>
                </c:pt>
                <c:pt idx="205">
                  <c:v>0.27896312740528262</c:v>
                </c:pt>
                <c:pt idx="206">
                  <c:v>0.30481178481345755</c:v>
                </c:pt>
                <c:pt idx="207">
                  <c:v>0.32700270080386962</c:v>
                </c:pt>
                <c:pt idx="208">
                  <c:v>0.3452695843846314</c:v>
                </c:pt>
                <c:pt idx="209">
                  <c:v>0.35939323295278375</c:v>
                </c:pt>
                <c:pt idx="210">
                  <c:v>0.36920416272549594</c:v>
                </c:pt>
                <c:pt idx="211">
                  <c:v>0.37458464254550577</c:v>
                </c:pt>
                <c:pt idx="212">
                  <c:v>0.37547010665496994</c:v>
                </c:pt>
                <c:pt idx="213">
                  <c:v>0.28929992948457633</c:v>
                </c:pt>
                <c:pt idx="214">
                  <c:v>0.19965815316036406</c:v>
                </c:pt>
                <c:pt idx="215">
                  <c:v>0.10762047899823095</c:v>
                </c:pt>
                <c:pt idx="216">
                  <c:v>1.429135908811714E-2</c:v>
                </c:pt>
                <c:pt idx="217">
                  <c:v>-7.920925713105581E-2</c:v>
                </c:pt>
                <c:pt idx="218">
                  <c:v>-0.17176936226465317</c:v>
                </c:pt>
                <c:pt idx="219">
                  <c:v>-0.26225823505107365</c:v>
                </c:pt>
                <c:pt idx="220">
                  <c:v>-0.34960000901688121</c:v>
                </c:pt>
                <c:pt idx="221">
                  <c:v>-0.33636658287449372</c:v>
                </c:pt>
                <c:pt idx="222">
                  <c:v>-0.31909675773760404</c:v>
                </c:pt>
                <c:pt idx="223">
                  <c:v>-0.29799777150787354</c:v>
                </c:pt>
                <c:pt idx="224">
                  <c:v>-0.37557281202003651</c:v>
                </c:pt>
                <c:pt idx="225">
                  <c:v>-0.44864097878796139</c:v>
                </c:pt>
                <c:pt idx="226">
                  <c:v>-0.51632545381043082</c:v>
                </c:pt>
                <c:pt idx="227">
                  <c:v>-0.57782402338718475</c:v>
                </c:pt>
                <c:pt idx="228">
                  <c:v>-0.63237870468327895</c:v>
                </c:pt>
                <c:pt idx="229">
                  <c:v>-0.53393484152317727</c:v>
                </c:pt>
                <c:pt idx="230">
                  <c:v>-0.42908376026480272</c:v>
                </c:pt>
                <c:pt idx="231">
                  <c:v>-0.31909367388324728</c:v>
                </c:pt>
                <c:pt idx="232">
                  <c:v>-0.20526446341510068</c:v>
                </c:pt>
                <c:pt idx="233">
                  <c:v>-8.8972079385959274E-2</c:v>
                </c:pt>
                <c:pt idx="234">
                  <c:v>-0.19688203040419891</c:v>
                </c:pt>
                <c:pt idx="235">
                  <c:v>-0.30242939705757638</c:v>
                </c:pt>
                <c:pt idx="236">
                  <c:v>-0.22361761094626814</c:v>
                </c:pt>
                <c:pt idx="237">
                  <c:v>-0.14212241350360477</c:v>
                </c:pt>
                <c:pt idx="238">
                  <c:v>-5.8921747098898559E-2</c:v>
                </c:pt>
                <c:pt idx="239">
                  <c:v>2.498598027099062E-2</c:v>
                </c:pt>
                <c:pt idx="240">
                  <c:v>0.10859387587763207</c:v>
                </c:pt>
                <c:pt idx="241">
                  <c:v>0.19089864497374262</c:v>
                </c:pt>
                <c:pt idx="242">
                  <c:v>0.27091263033016671</c:v>
                </c:pt>
                <c:pt idx="243">
                  <c:v>0.18633566412262953</c:v>
                </c:pt>
                <c:pt idx="244">
                  <c:v>9.9522669945620132E-2</c:v>
                </c:pt>
                <c:pt idx="245">
                  <c:v>1.150540372926636E-2</c:v>
                </c:pt>
                <c:pt idx="246">
                  <c:v>-7.6639927331842689E-2</c:v>
                </c:pt>
                <c:pt idx="247">
                  <c:v>-1.3965579264967488E-2</c:v>
                </c:pt>
                <c:pt idx="248">
                  <c:v>4.8876355753081718E-2</c:v>
                </c:pt>
                <c:pt idx="249">
                  <c:v>0.11112177450210312</c:v>
                </c:pt>
                <c:pt idx="250">
                  <c:v>0.17204373195709408</c:v>
                </c:pt>
                <c:pt idx="251">
                  <c:v>0.1323311646286027</c:v>
                </c:pt>
                <c:pt idx="252">
                  <c:v>9.1020623324564523E-2</c:v>
                </c:pt>
                <c:pt idx="253">
                  <c:v>4.8627834540637856E-2</c:v>
                </c:pt>
                <c:pt idx="254">
                  <c:v>0.10515151174221582</c:v>
                </c:pt>
                <c:pt idx="255">
                  <c:v>0.16042337080289426</c:v>
                </c:pt>
                <c:pt idx="256">
                  <c:v>0.2137701494139268</c:v>
                </c:pt>
                <c:pt idx="257">
                  <c:v>0.26454168623200014</c:v>
                </c:pt>
                <c:pt idx="258">
                  <c:v>0.31214872281528583</c:v>
                </c:pt>
                <c:pt idx="259">
                  <c:v>0.28458997472479047</c:v>
                </c:pt>
                <c:pt idx="260">
                  <c:v>0.25361614693760087</c:v>
                </c:pt>
                <c:pt idx="261">
                  <c:v>0.21959892538715459</c:v>
                </c:pt>
                <c:pt idx="262">
                  <c:v>0.24758651673206875</c:v>
                </c:pt>
                <c:pt idx="263">
                  <c:v>0.27260306987620525</c:v>
                </c:pt>
                <c:pt idx="264">
                  <c:v>0.29434838618181031</c:v>
                </c:pt>
                <c:pt idx="265">
                  <c:v>0.31256152185324143</c:v>
                </c:pt>
                <c:pt idx="266">
                  <c:v>0.32702391926242663</c:v>
                </c:pt>
                <c:pt idx="267">
                  <c:v>0.24255202964046546</c:v>
                </c:pt>
                <c:pt idx="268">
                  <c:v>0.15515951566282599</c:v>
                </c:pt>
                <c:pt idx="269">
                  <c:v>6.5915087497229241E-2</c:v>
                </c:pt>
                <c:pt idx="270">
                  <c:v>0.10873967828166353</c:v>
                </c:pt>
                <c:pt idx="271">
                  <c:v>0.15025939292672177</c:v>
                </c:pt>
                <c:pt idx="272">
                  <c:v>0.1899859948566564</c:v>
                </c:pt>
                <c:pt idx="273">
                  <c:v>0.22742276484831089</c:v>
                </c:pt>
                <c:pt idx="274">
                  <c:v>0.16430046166178575</c:v>
                </c:pt>
                <c:pt idx="275">
                  <c:v>9.9206552935319062E-2</c:v>
                </c:pt>
                <c:pt idx="276">
                  <c:v>3.2922165573628981E-2</c:v>
                </c:pt>
                <c:pt idx="277">
                  <c:v>-3.3757287774944751E-2</c:v>
                </c:pt>
                <c:pt idx="278">
                  <c:v>-3.5681653670217424E-2</c:v>
                </c:pt>
                <c:pt idx="279">
                  <c:v>-3.7167839721449769E-2</c:v>
                </c:pt>
                <c:pt idx="280">
                  <c:v>-3.8218011696024373E-2</c:v>
                </c:pt>
                <c:pt idx="281">
                  <c:v>-3.8799567530244973E-2</c:v>
                </c:pt>
                <c:pt idx="282">
                  <c:v>-3.8925528554108885E-2</c:v>
                </c:pt>
                <c:pt idx="283">
                  <c:v>-3.85743832353189E-2</c:v>
                </c:pt>
                <c:pt idx="284">
                  <c:v>-0.1212303453177084</c:v>
                </c:pt>
                <c:pt idx="285">
                  <c:v>-0.2024315432562788</c:v>
                </c:pt>
                <c:pt idx="286">
                  <c:v>-0.28119356267577134</c:v>
                </c:pt>
                <c:pt idx="287">
                  <c:v>-0.35659125934315877</c:v>
                </c:pt>
                <c:pt idx="288">
                  <c:v>-0.36287986089842889</c:v>
                </c:pt>
                <c:pt idx="289">
                  <c:v>-0.36482390412292343</c:v>
                </c:pt>
                <c:pt idx="290">
                  <c:v>-0.36238006049793547</c:v>
                </c:pt>
                <c:pt idx="291">
                  <c:v>-0.38289765614697885</c:v>
                </c:pt>
                <c:pt idx="292">
                  <c:v>-0.39881047992225499</c:v>
                </c:pt>
                <c:pt idx="293">
                  <c:v>-0.40120757793846162</c:v>
                </c:pt>
                <c:pt idx="294">
                  <c:v>-0.39880018501940812</c:v>
                </c:pt>
                <c:pt idx="295">
                  <c:v>-0.44170718988012414</c:v>
                </c:pt>
                <c:pt idx="296">
                  <c:v>-0.41972370846228219</c:v>
                </c:pt>
                <c:pt idx="297">
                  <c:v>-0.40458354254287521</c:v>
                </c:pt>
                <c:pt idx="298">
                  <c:v>-0.38458837411297314</c:v>
                </c:pt>
                <c:pt idx="299">
                  <c:v>-0.33317814519370509</c:v>
                </c:pt>
                <c:pt idx="300">
                  <c:v>-0.27775977853211009</c:v>
                </c:pt>
                <c:pt idx="301">
                  <c:v>-0.21900829452813769</c:v>
                </c:pt>
                <c:pt idx="302">
                  <c:v>-0.15763871098982896</c:v>
                </c:pt>
                <c:pt idx="303">
                  <c:v>-0.15551746291963706</c:v>
                </c:pt>
                <c:pt idx="304">
                  <c:v>-0.15153000529441138</c:v>
                </c:pt>
                <c:pt idx="305">
                  <c:v>-0.14572418760565417</c:v>
                </c:pt>
                <c:pt idx="306">
                  <c:v>-7.0309679665625735E-2</c:v>
                </c:pt>
                <c:pt idx="307">
                  <c:v>5.938544430389046E-3</c:v>
                </c:pt>
                <c:pt idx="308">
                  <c:v>8.2125505993237924E-2</c:v>
                </c:pt>
                <c:pt idx="309">
                  <c:v>9.9916961484168995E-2</c:v>
                </c:pt>
                <c:pt idx="310">
                  <c:v>0.11651941343728986</c:v>
                </c:pt>
                <c:pt idx="311">
                  <c:v>0.17598363242916393</c:v>
                </c:pt>
                <c:pt idx="312">
                  <c:v>0.23332604783188413</c:v>
                </c:pt>
                <c:pt idx="313">
                  <c:v>0.28786855066062489</c:v>
                </c:pt>
                <c:pt idx="314">
                  <c:v>0.33895663088143785</c:v>
                </c:pt>
                <c:pt idx="315">
                  <c:v>0.38598723153167919</c:v>
                </c:pt>
                <c:pt idx="316">
                  <c:v>0.37371598540352713</c:v>
                </c:pt>
                <c:pt idx="317">
                  <c:v>0.35696014745054128</c:v>
                </c:pt>
                <c:pt idx="318">
                  <c:v>0.39056078772815944</c:v>
                </c:pt>
                <c:pt idx="319">
                  <c:v>0.41947469855301878</c:v>
                </c:pt>
                <c:pt idx="320">
                  <c:v>0.41820491299525936</c:v>
                </c:pt>
                <c:pt idx="321">
                  <c:v>0.41191666848154701</c:v>
                </c:pt>
                <c:pt idx="322">
                  <c:v>0.4120354239460543</c:v>
                </c:pt>
                <c:pt idx="323">
                  <c:v>0.40719975432321542</c:v>
                </c:pt>
                <c:pt idx="324">
                  <c:v>0.39747768764850089</c:v>
                </c:pt>
                <c:pt idx="325">
                  <c:v>0.38695588872198444</c:v>
                </c:pt>
                <c:pt idx="326">
                  <c:v>0.37178061913082422</c:v>
                </c:pt>
                <c:pt idx="327">
                  <c:v>0.33105398211008724</c:v>
                </c:pt>
                <c:pt idx="328">
                  <c:v>0.28635469730402524</c:v>
                </c:pt>
                <c:pt idx="329">
                  <c:v>0.23821915613032266</c:v>
                </c:pt>
                <c:pt idx="330">
                  <c:v>0.18722498508305693</c:v>
                </c:pt>
                <c:pt idx="331">
                  <c:v>0.16727411421478933</c:v>
                </c:pt>
                <c:pt idx="332">
                  <c:v>0.14531595397594751</c:v>
                </c:pt>
                <c:pt idx="333">
                  <c:v>0.12161400228939516</c:v>
                </c:pt>
                <c:pt idx="334">
                  <c:v>9.6452682575366197E-2</c:v>
                </c:pt>
                <c:pt idx="335">
                  <c:v>1.3703930670434544E-2</c:v>
                </c:pt>
                <c:pt idx="336">
                  <c:v>-2.8289268402542513E-2</c:v>
                </c:pt>
                <c:pt idx="337">
                  <c:v>-6.994299625468825E-2</c:v>
                </c:pt>
                <c:pt idx="338">
                  <c:v>-0.11075740815178012</c:v>
                </c:pt>
                <c:pt idx="339">
                  <c:v>-0.15565273115104902</c:v>
                </c:pt>
                <c:pt idx="340">
                  <c:v>-0.19868022137650795</c:v>
                </c:pt>
                <c:pt idx="341">
                  <c:v>-0.21898354894544103</c:v>
                </c:pt>
                <c:pt idx="342">
                  <c:v>-0.23665907392703045</c:v>
                </c:pt>
                <c:pt idx="343">
                  <c:v>-0.25149469002150837</c:v>
                </c:pt>
                <c:pt idx="344">
                  <c:v>-0.26331236983571316</c:v>
                </c:pt>
                <c:pt idx="345">
                  <c:v>-0.27197030121189902</c:v>
                </c:pt>
                <c:pt idx="346">
                  <c:v>-0.2773545889735336</c:v>
                </c:pt>
                <c:pt idx="347">
                  <c:v>-0.33040062166749851</c:v>
                </c:pt>
                <c:pt idx="348">
                  <c:v>-0.37948184690143272</c:v>
                </c:pt>
                <c:pt idx="349">
                  <c:v>-0.42399928997257413</c:v>
                </c:pt>
                <c:pt idx="350">
                  <c:v>-0.46343874156402115</c:v>
                </c:pt>
                <c:pt idx="351">
                  <c:v>-0.44398692825672009</c:v>
                </c:pt>
                <c:pt idx="352">
                  <c:v>-0.4192072718103238</c:v>
                </c:pt>
                <c:pt idx="353">
                  <c:v>-0.38939712810221422</c:v>
                </c:pt>
                <c:pt idx="354">
                  <c:v>-0.41521421885687065</c:v>
                </c:pt>
                <c:pt idx="355">
                  <c:v>-0.4360387389852442</c:v>
                </c:pt>
                <c:pt idx="356">
                  <c:v>-0.39060079424580674</c:v>
                </c:pt>
                <c:pt idx="357">
                  <c:v>-0.34047563997540664</c:v>
                </c:pt>
                <c:pt idx="358">
                  <c:v>-0.28626477802530526</c:v>
                </c:pt>
                <c:pt idx="359">
                  <c:v>-0.22861873873889804</c:v>
                </c:pt>
                <c:pt idx="360">
                  <c:v>-0.16822927458762671</c:v>
                </c:pt>
                <c:pt idx="361">
                  <c:v>-0.15163105914130659</c:v>
                </c:pt>
                <c:pt idx="362">
                  <c:v>-0.13321327098528332</c:v>
                </c:pt>
                <c:pt idx="363">
                  <c:v>-0.11319692357744626</c:v>
                </c:pt>
                <c:pt idx="364">
                  <c:v>-5.2702213086673909E-2</c:v>
                </c:pt>
                <c:pt idx="365">
                  <c:v>-8.4650760388648005E-3</c:v>
                </c:pt>
                <c:pt idx="366">
                  <c:v>3.587364192141388E-2</c:v>
                </c:pt>
                <c:pt idx="367">
                  <c:v>9.5511876178637392E-2</c:v>
                </c:pt>
                <c:pt idx="368">
                  <c:v>0.15401396792171557</c:v>
                </c:pt>
                <c:pt idx="369">
                  <c:v>0.21066789204972564</c:v>
                </c:pt>
                <c:pt idx="370">
                  <c:v>0.26479380147314929</c:v>
                </c:pt>
                <c:pt idx="371">
                  <c:v>0.29032218527888509</c:v>
                </c:pt>
                <c:pt idx="372">
                  <c:v>0.31236670286128709</c:v>
                </c:pt>
                <c:pt idx="373">
                  <c:v>0.33066282000934322</c:v>
                </c:pt>
                <c:pt idx="374">
                  <c:v>0.38921098331729398</c:v>
                </c:pt>
                <c:pt idx="375">
                  <c:v>0.44308861482543133</c:v>
                </c:pt>
                <c:pt idx="376">
                  <c:v>0.44342918295567357</c:v>
                </c:pt>
                <c:pt idx="377">
                  <c:v>0.43845860089043642</c:v>
                </c:pt>
                <c:pt idx="378">
                  <c:v>0.42821651561451668</c:v>
                </c:pt>
                <c:pt idx="379">
                  <c:v>0.41284583215122833</c:v>
                </c:pt>
                <c:pt idx="380">
                  <c:v>0.41412099870210844</c:v>
                </c:pt>
                <c:pt idx="381">
                  <c:v>0.41042671326858066</c:v>
                </c:pt>
                <c:pt idx="382">
                  <c:v>0.40180730727582509</c:v>
                </c:pt>
                <c:pt idx="383">
                  <c:v>0.38837621359576102</c:v>
                </c:pt>
                <c:pt idx="384">
                  <c:v>0.37977460535254265</c:v>
                </c:pt>
                <c:pt idx="385">
                  <c:v>0.36661570184510178</c:v>
                </c:pt>
                <c:pt idx="386">
                  <c:v>0.34905740991551543</c:v>
                </c:pt>
                <c:pt idx="387">
                  <c:v>0.30089042906694541</c:v>
                </c:pt>
                <c:pt idx="388">
                  <c:v>0.24912276306956896</c:v>
                </c:pt>
                <c:pt idx="389">
                  <c:v>0.24390562391535686</c:v>
                </c:pt>
                <c:pt idx="390">
                  <c:v>0.18470161727415996</c:v>
                </c:pt>
                <c:pt idx="391">
                  <c:v>0.12327119122567785</c:v>
                </c:pt>
                <c:pt idx="392">
                  <c:v>6.0361510882483385E-2</c:v>
                </c:pt>
                <c:pt idx="393">
                  <c:v>-3.2625075912996911E-3</c:v>
                </c:pt>
                <c:pt idx="394">
                  <c:v>-6.6857375973985042E-2</c:v>
                </c:pt>
                <c:pt idx="395">
                  <c:v>-0.12964995584498815</c:v>
                </c:pt>
                <c:pt idx="396">
                  <c:v>-0.19087673624584378</c:v>
                </c:pt>
                <c:pt idx="397">
                  <c:v>-0.24982299581175621</c:v>
                </c:pt>
                <c:pt idx="398">
                  <c:v>-0.30576137942792642</c:v>
                </c:pt>
                <c:pt idx="399">
                  <c:v>-0.31898062649094933</c:v>
                </c:pt>
                <c:pt idx="400">
                  <c:v>-0.32837210603609174</c:v>
                </c:pt>
                <c:pt idx="401">
                  <c:v>-0.33382312030880934</c:v>
                </c:pt>
                <c:pt idx="402">
                  <c:v>-0.38506825713780118</c:v>
                </c:pt>
                <c:pt idx="403">
                  <c:v>-0.43169257488115481</c:v>
                </c:pt>
                <c:pt idx="404">
                  <c:v>-0.47313658172593465</c:v>
                </c:pt>
                <c:pt idx="405">
                  <c:v>-0.50890294959000415</c:v>
                </c:pt>
                <c:pt idx="406">
                  <c:v>-0.50318248205898253</c:v>
                </c:pt>
                <c:pt idx="407">
                  <c:v>-0.49142382474326796</c:v>
                </c:pt>
                <c:pt idx="408">
                  <c:v>-0.47376808153061845</c:v>
                </c:pt>
                <c:pt idx="409">
                  <c:v>-0.46025712133960622</c:v>
                </c:pt>
                <c:pt idx="410">
                  <c:v>-0.44122307569252356</c:v>
                </c:pt>
                <c:pt idx="411">
                  <c:v>-0.41689435313712292</c:v>
                </c:pt>
                <c:pt idx="412">
                  <c:v>-0.39099289834408546</c:v>
                </c:pt>
                <c:pt idx="413">
                  <c:v>-0.3604095287709167</c:v>
                </c:pt>
                <c:pt idx="414">
                  <c:v>-0.32549124485249137</c:v>
                </c:pt>
                <c:pt idx="415">
                  <c:v>-0.26184706599584023</c:v>
                </c:pt>
                <c:pt idx="416">
                  <c:v>-0.19505072234724452</c:v>
                </c:pt>
                <c:pt idx="417">
                  <c:v>-0.12592377003047017</c:v>
                </c:pt>
                <c:pt idx="418">
                  <c:v>-8.0515732473339541E-2</c:v>
                </c:pt>
                <c:pt idx="419">
                  <c:v>-3.0821506126524716E-2</c:v>
                </c:pt>
                <c:pt idx="420">
                  <c:v>1.9232578293806497E-2</c:v>
                </c:pt>
                <c:pt idx="421">
                  <c:v>6.2045871774611634E-2</c:v>
                </c:pt>
                <c:pt idx="422">
                  <c:v>0.10411461479412076</c:v>
                </c:pt>
                <c:pt idx="423">
                  <c:v>0.14492398243610677</c:v>
                </c:pt>
                <c:pt idx="424">
                  <c:v>0.18400426228885317</c:v>
                </c:pt>
                <c:pt idx="425">
                  <c:v>0.23365649099413993</c:v>
                </c:pt>
                <c:pt idx="426">
                  <c:v>0.2805048418074883</c:v>
                </c:pt>
                <c:pt idx="427">
                  <c:v>0.28078713451914689</c:v>
                </c:pt>
                <c:pt idx="428">
                  <c:v>0.27768998161657993</c:v>
                </c:pt>
                <c:pt idx="429">
                  <c:v>0.27127054893461788</c:v>
                </c:pt>
                <c:pt idx="430">
                  <c:v>0.26158586966543163</c:v>
                </c:pt>
                <c:pt idx="431">
                  <c:v>0.24877215996026592</c:v>
                </c:pt>
                <c:pt idx="432">
                  <c:v>0.30065318433557425</c:v>
                </c:pt>
                <c:pt idx="433">
                  <c:v>0.3489363704988705</c:v>
                </c:pt>
                <c:pt idx="434">
                  <c:v>0.39303232021615975</c:v>
                </c:pt>
                <c:pt idx="435">
                  <c:v>0.43241188209085751</c:v>
                </c:pt>
                <c:pt idx="436">
                  <c:v>0.46660250138047876</c:v>
                </c:pt>
                <c:pt idx="437">
                  <c:v>0.46471389065351731</c:v>
                </c:pt>
                <c:pt idx="438">
                  <c:v>0.45724871323872451</c:v>
                </c:pt>
                <c:pt idx="439">
                  <c:v>0.4443065512650668</c:v>
                </c:pt>
                <c:pt idx="440">
                  <c:v>0.48718271067622015</c:v>
                </c:pt>
                <c:pt idx="441">
                  <c:v>0.52420267755927308</c:v>
                </c:pt>
                <c:pt idx="442">
                  <c:v>0.55494221231160679</c:v>
                </c:pt>
                <c:pt idx="443">
                  <c:v>0.45451244051619794</c:v>
                </c:pt>
                <c:pt idx="444">
                  <c:v>0.34861851943459532</c:v>
                </c:pt>
                <c:pt idx="445">
                  <c:v>0.23854117611978551</c:v>
                </c:pt>
                <c:pt idx="446">
                  <c:v>0.12560133869152959</c:v>
                </c:pt>
                <c:pt idx="447">
                  <c:v>1.1154285198976179E-2</c:v>
                </c:pt>
                <c:pt idx="448">
                  <c:v>5.4633802840374805E-3</c:v>
                </c:pt>
                <c:pt idx="449">
                  <c:v>-2.9308519430972868E-4</c:v>
                </c:pt>
                <c:pt idx="450">
                  <c:v>-8.4666033650325739E-2</c:v>
                </c:pt>
                <c:pt idx="451">
                  <c:v>-0.16802298970253615</c:v>
                </c:pt>
                <c:pt idx="452">
                  <c:v>-7.9723669878315861E-2</c:v>
                </c:pt>
                <c:pt idx="453">
                  <c:v>9.5323339844373585E-3</c:v>
                </c:pt>
                <c:pt idx="454">
                  <c:v>-7.3466050160616442E-2</c:v>
                </c:pt>
                <c:pt idx="455">
                  <c:v>-0.15559284170374355</c:v>
                </c:pt>
                <c:pt idx="456">
                  <c:v>-0.23584251914642895</c:v>
                </c:pt>
                <c:pt idx="457">
                  <c:v>-0.31326208635935271</c:v>
                </c:pt>
                <c:pt idx="458">
                  <c:v>-0.34871250853596258</c:v>
                </c:pt>
                <c:pt idx="459">
                  <c:v>-0.37997838061014799</c:v>
                </c:pt>
                <c:pt idx="460">
                  <c:v>-0.44472451211701075</c:v>
                </c:pt>
                <c:pt idx="461">
                  <c:v>-0.5041339494784528</c:v>
                </c:pt>
                <c:pt idx="462">
                  <c:v>-0.55749377944618206</c:v>
                </c:pt>
                <c:pt idx="463">
                  <c:v>-0.60415368406053349</c:v>
                </c:pt>
                <c:pt idx="464">
                  <c:v>-0.64357374446617066</c:v>
                </c:pt>
                <c:pt idx="465">
                  <c:v>-0.56634091993822999</c:v>
                </c:pt>
                <c:pt idx="466">
                  <c:v>-0.48230200437099008</c:v>
                </c:pt>
                <c:pt idx="467">
                  <c:v>-0.39248546475132479</c:v>
                </c:pt>
                <c:pt idx="468">
                  <c:v>-0.29795909955462968</c:v>
                </c:pt>
                <c:pt idx="469">
                  <c:v>-0.3767072251632938</c:v>
                </c:pt>
                <c:pt idx="470">
                  <c:v>-0.45094486406998308</c:v>
                </c:pt>
                <c:pt idx="471">
                  <c:v>-0.39104116460784466</c:v>
                </c:pt>
                <c:pt idx="472">
                  <c:v>-0.32645497117041522</c:v>
                </c:pt>
                <c:pt idx="473">
                  <c:v>-0.2579413180789315</c:v>
                </c:pt>
                <c:pt idx="474">
                  <c:v>-0.18633236917049451</c:v>
                </c:pt>
                <c:pt idx="475">
                  <c:v>-0.1124974318320298</c:v>
                </c:pt>
                <c:pt idx="476">
                  <c:v>-9.8122525311568939E-2</c:v>
                </c:pt>
                <c:pt idx="477">
                  <c:v>-8.2570148487370529E-2</c:v>
                </c:pt>
                <c:pt idx="478">
                  <c:v>-6.6026929881326718E-2</c:v>
                </c:pt>
                <c:pt idx="479">
                  <c:v>-4.8691388116704475E-2</c:v>
                </c:pt>
                <c:pt idx="480">
                  <c:v>-3.07715496946834E-2</c:v>
                </c:pt>
                <c:pt idx="481">
                  <c:v>5.6437547323675855E-2</c:v>
                </c:pt>
                <c:pt idx="482">
                  <c:v>0.14296939377415277</c:v>
                </c:pt>
                <c:pt idx="483">
                  <c:v>0.22778560749933238</c:v>
                </c:pt>
                <c:pt idx="484">
                  <c:v>0.3098683939345252</c:v>
                </c:pt>
                <c:pt idx="485">
                  <c:v>0.38823275964250042</c:v>
                </c:pt>
                <c:pt idx="486">
                  <c:v>0.40870833223477332</c:v>
                </c:pt>
                <c:pt idx="487">
                  <c:v>0.42428940484021993</c:v>
                </c:pt>
                <c:pt idx="488">
                  <c:v>0.43476900458759393</c:v>
                </c:pt>
                <c:pt idx="489">
                  <c:v>0.44004137627990864</c:v>
                </c:pt>
                <c:pt idx="490">
                  <c:v>0.44002325145686866</c:v>
                </c:pt>
                <c:pt idx="491">
                  <c:v>0.46515484761634923</c:v>
                </c:pt>
                <c:pt idx="492">
                  <c:v>0.44047458560442404</c:v>
                </c:pt>
                <c:pt idx="493">
                  <c:v>0.41050862856524017</c:v>
                </c:pt>
                <c:pt idx="494">
                  <c:v>0.4732165679832917</c:v>
                </c:pt>
                <c:pt idx="495">
                  <c:v>0.53024590858552656</c:v>
                </c:pt>
                <c:pt idx="496">
                  <c:v>0.48948229828475742</c:v>
                </c:pt>
                <c:pt idx="497">
                  <c:v>0.44284490040454733</c:v>
                </c:pt>
                <c:pt idx="498">
                  <c:v>0.39090336371949264</c:v>
                </c:pt>
                <c:pt idx="499">
                  <c:v>0.36558098666980304</c:v>
                </c:pt>
                <c:pt idx="500">
                  <c:v>0.30899163778007677</c:v>
                </c:pt>
                <c:pt idx="501">
                  <c:v>0.24869438923699314</c:v>
                </c:pt>
                <c:pt idx="502">
                  <c:v>0.23652280802306844</c:v>
                </c:pt>
                <c:pt idx="503">
                  <c:v>0.22151295311285826</c:v>
                </c:pt>
                <c:pt idx="504">
                  <c:v>0.20383494276529546</c:v>
                </c:pt>
                <c:pt idx="505">
                  <c:v>0.18372091310455188</c:v>
                </c:pt>
                <c:pt idx="506">
                  <c:v>0.16139223248655349</c:v>
                </c:pt>
                <c:pt idx="507">
                  <c:v>0.1371368450787144</c:v>
                </c:pt>
                <c:pt idx="508">
                  <c:v>4.5745815529932891E-2</c:v>
                </c:pt>
                <c:pt idx="509">
                  <c:v>-4.6184163805208442E-2</c:v>
                </c:pt>
                <c:pt idx="510">
                  <c:v>-0.13756993317468827</c:v>
                </c:pt>
                <c:pt idx="511">
                  <c:v>-0.2273048633460702</c:v>
                </c:pt>
                <c:pt idx="512">
                  <c:v>-0.3143121351573</c:v>
                </c:pt>
                <c:pt idx="513">
                  <c:v>-0.33948766134664615</c:v>
                </c:pt>
                <c:pt idx="514">
                  <c:v>-0.36059933559983398</c:v>
                </c:pt>
                <c:pt idx="515">
                  <c:v>-0.42462381782581299</c:v>
                </c:pt>
                <c:pt idx="516">
                  <c:v>-0.48355281423789576</c:v>
                </c:pt>
                <c:pt idx="517">
                  <c:v>-0.53667917687911204</c:v>
                </c:pt>
                <c:pt idx="518">
                  <c:v>-0.58336538939779059</c:v>
                </c:pt>
                <c:pt idx="519">
                  <c:v>-0.53895121724368411</c:v>
                </c:pt>
                <c:pt idx="520">
                  <c:v>-0.48807963048264935</c:v>
                </c:pt>
                <c:pt idx="521">
                  <c:v>-0.43134108815584371</c:v>
                </c:pt>
                <c:pt idx="522">
                  <c:v>-0.44969645277115333</c:v>
                </c:pt>
                <c:pt idx="523">
                  <c:v>-0.46266545995320235</c:v>
                </c:pt>
                <c:pt idx="524">
                  <c:v>-0.4700724816158281</c:v>
                </c:pt>
                <c:pt idx="525">
                  <c:v>-0.47184863349905481</c:v>
                </c:pt>
                <c:pt idx="526">
                  <c:v>-0.44428260178029727</c:v>
                </c:pt>
                <c:pt idx="527">
                  <c:v>-0.41138517884017378</c:v>
                </c:pt>
                <c:pt idx="528">
                  <c:v>-0.37355113375397375</c:v>
                </c:pt>
                <c:pt idx="529">
                  <c:v>-0.34873447506271554</c:v>
                </c:pt>
                <c:pt idx="530">
                  <c:v>-0.31973300267071214</c:v>
                </c:pt>
                <c:pt idx="531">
                  <c:v>-0.28689473424665718</c:v>
                </c:pt>
                <c:pt idx="532">
                  <c:v>-0.25061372901164208</c:v>
                </c:pt>
                <c:pt idx="533">
                  <c:v>-0.16059535902848968</c:v>
                </c:pt>
                <c:pt idx="534">
                  <c:v>-6.8649844736994536E-2</c:v>
                </c:pt>
                <c:pt idx="535">
                  <c:v>2.4119467691344598E-2</c:v>
                </c:pt>
                <c:pt idx="536">
                  <c:v>6.2309346507388293E-2</c:v>
                </c:pt>
                <c:pt idx="537">
                  <c:v>9.9761513165344706E-2</c:v>
                </c:pt>
                <c:pt idx="538">
                  <c:v>0.1360065416653117</c:v>
                </c:pt>
                <c:pt idx="539">
                  <c:v>0.21965949166530185</c:v>
                </c:pt>
                <c:pt idx="540">
                  <c:v>0.30068652776529725</c:v>
                </c:pt>
                <c:pt idx="541">
                  <c:v>0.37809532553212222</c:v>
                </c:pt>
                <c:pt idx="542">
                  <c:v>0.45097697939255449</c:v>
                </c:pt>
                <c:pt idx="543">
                  <c:v>0.45514690950027198</c:v>
                </c:pt>
                <c:pt idx="544">
                  <c:v>0.45385507669399788</c:v>
                </c:pt>
                <c:pt idx="545">
                  <c:v>0.44711698296738367</c:v>
                </c:pt>
                <c:pt idx="546">
                  <c:v>0.43502348544517849</c:v>
                </c:pt>
                <c:pt idx="547">
                  <c:v>0.47537970609762104</c:v>
                </c:pt>
                <c:pt idx="548">
                  <c:v>0.51003137027688661</c:v>
                </c:pt>
                <c:pt idx="549">
                  <c:v>0.53856265801283454</c:v>
                </c:pt>
                <c:pt idx="550">
                  <c:v>0.56063119385262383</c:v>
                </c:pt>
                <c:pt idx="551">
                  <c:v>0.52299215536617638</c:v>
                </c:pt>
                <c:pt idx="552">
                  <c:v>0.47907721101535061</c:v>
                </c:pt>
                <c:pt idx="553">
                  <c:v>0.42940334013233727</c:v>
                </c:pt>
                <c:pt idx="554">
                  <c:v>0.37458662916773316</c:v>
                </c:pt>
                <c:pt idx="555">
                  <c:v>0.35484487865311204</c:v>
                </c:pt>
                <c:pt idx="556">
                  <c:v>0.33084498959465386</c:v>
                </c:pt>
                <c:pt idx="557">
                  <c:v>0.30287496066106961</c:v>
                </c:pt>
                <c:pt idx="558">
                  <c:v>0.27126043219953805</c:v>
                </c:pt>
                <c:pt idx="559">
                  <c:v>0.23640077855161454</c:v>
                </c:pt>
                <c:pt idx="560">
                  <c:v>0.15614431556108505</c:v>
                </c:pt>
                <c:pt idx="561">
                  <c:v>7.4004120783816879E-2</c:v>
                </c:pt>
                <c:pt idx="562">
                  <c:v>-9.0241234428599382E-3</c:v>
                </c:pt>
                <c:pt idx="563">
                  <c:v>-3.880407818822261E-2</c:v>
                </c:pt>
                <c:pt idx="564">
                  <c:v>-6.8128383995326613E-2</c:v>
                </c:pt>
                <c:pt idx="565">
                  <c:v>-9.6625149194486767E-2</c:v>
                </c:pt>
                <c:pt idx="566">
                  <c:v>-0.12396241260331395</c:v>
                </c:pt>
                <c:pt idx="567">
                  <c:v>-0.14982212706090126</c:v>
                </c:pt>
                <c:pt idx="568">
                  <c:v>-0.17387397599375515</c:v>
                </c:pt>
                <c:pt idx="569">
                  <c:v>-0.19584933721468206</c:v>
                </c:pt>
                <c:pt idx="570">
                  <c:v>-0.21546450638903253</c:v>
                </c:pt>
                <c:pt idx="571">
                  <c:v>-0.23249410148671895</c:v>
                </c:pt>
                <c:pt idx="572">
                  <c:v>-0.24674376736656764</c:v>
                </c:pt>
                <c:pt idx="573">
                  <c:v>-0.25802250803801452</c:v>
                </c:pt>
                <c:pt idx="574">
                  <c:v>-0.2842349786130044</c:v>
                </c:pt>
                <c:pt idx="575">
                  <c:v>-0.30702662944464154</c:v>
                </c:pt>
                <c:pt idx="576">
                  <c:v>-0.32614396072294138</c:v>
                </c:pt>
                <c:pt idx="577">
                  <c:v>-0.34134756447256293</c:v>
                </c:pt>
                <c:pt idx="578">
                  <c:v>-0.31563499744850609</c:v>
                </c:pt>
                <c:pt idx="579">
                  <c:v>-0.28614481045508705</c:v>
                </c:pt>
                <c:pt idx="580">
                  <c:v>-0.34119088573619782</c:v>
                </c:pt>
                <c:pt idx="581">
                  <c:v>-0.39214267038845119</c:v>
                </c:pt>
                <c:pt idx="582">
                  <c:v>-0.43838874299606706</c:v>
                </c:pt>
                <c:pt idx="583">
                  <c:v>-0.47937415068773254</c:v>
                </c:pt>
                <c:pt idx="584">
                  <c:v>-0.51460706857113769</c:v>
                </c:pt>
                <c:pt idx="585">
                  <c:v>-0.54366470163170688</c:v>
                </c:pt>
                <c:pt idx="586">
                  <c:v>-0.51156835827267755</c:v>
                </c:pt>
                <c:pt idx="587">
                  <c:v>-0.47334319461436908</c:v>
                </c:pt>
                <c:pt idx="588">
                  <c:v>-0.42943791262070335</c:v>
                </c:pt>
                <c:pt idx="589">
                  <c:v>-0.41206937567557672</c:v>
                </c:pt>
                <c:pt idx="590">
                  <c:v>-0.38976600622235569</c:v>
                </c:pt>
                <c:pt idx="591">
                  <c:v>-0.36277544469446232</c:v>
                </c:pt>
                <c:pt idx="592">
                  <c:v>-0.29085157783023496</c:v>
                </c:pt>
                <c:pt idx="593">
                  <c:v>-0.21543749203204202</c:v>
                </c:pt>
                <c:pt idx="594">
                  <c:v>-0.1374381563294666</c:v>
                </c:pt>
                <c:pt idx="595">
                  <c:v>-5.7789562750937357E-2</c:v>
                </c:pt>
                <c:pt idx="596">
                  <c:v>1.8325055806014783E-3</c:v>
                </c:pt>
                <c:pt idx="597">
                  <c:v>6.1432583845174617E-2</c:v>
                </c:pt>
                <c:pt idx="598">
                  <c:v>0.12029547110360694</c:v>
                </c:pt>
                <c:pt idx="599">
                  <c:v>0.21113481270879605</c:v>
                </c:pt>
                <c:pt idx="600">
                  <c:v>0.29945053656148068</c:v>
                </c:pt>
                <c:pt idx="601">
                  <c:v>0.38416285397542288</c:v>
                </c:pt>
                <c:pt idx="602">
                  <c:v>0.46427521714165715</c:v>
                </c:pt>
                <c:pt idx="603">
                  <c:v>0.54214627770219836</c:v>
                </c:pt>
                <c:pt idx="604">
                  <c:v>0.56774158293032218</c:v>
                </c:pt>
                <c:pt idx="605">
                  <c:v>0.58651398916326891</c:v>
                </c:pt>
                <c:pt idx="606">
                  <c:v>0.59825822752623303</c:v>
                </c:pt>
                <c:pt idx="607">
                  <c:v>0.62523336715893107</c:v>
                </c:pt>
                <c:pt idx="608">
                  <c:v>0.64470570638569014</c:v>
                </c:pt>
                <c:pt idx="609">
                  <c:v>0.68205157713583509</c:v>
                </c:pt>
                <c:pt idx="610">
                  <c:v>0.65014282896034248</c:v>
                </c:pt>
                <c:pt idx="611">
                  <c:v>0.61043236683732716</c:v>
                </c:pt>
                <c:pt idx="612">
                  <c:v>0.63201671631226031</c:v>
                </c:pt>
                <c:pt idx="613">
                  <c:v>0.5915368651914551</c:v>
                </c:pt>
                <c:pt idx="614">
                  <c:v>0.54394857168835187</c:v>
                </c:pt>
                <c:pt idx="615">
                  <c:v>0.5132028953249963</c:v>
                </c:pt>
                <c:pt idx="616">
                  <c:v>0.45109878421771726</c:v>
                </c:pt>
                <c:pt idx="617">
                  <c:v>0.38357148769984323</c:v>
                </c:pt>
                <c:pt idx="618">
                  <c:v>0.31145133332955571</c:v>
                </c:pt>
                <c:pt idx="619">
                  <c:v>0.23559376295933468</c:v>
                </c:pt>
                <c:pt idx="620">
                  <c:v>0.18322906743358436</c:v>
                </c:pt>
                <c:pt idx="621">
                  <c:v>0.1286656230986376</c:v>
                </c:pt>
                <c:pt idx="622">
                  <c:v>7.2558191286504509E-2</c:v>
                </c:pt>
                <c:pt idx="623">
                  <c:v>-8.8799388210636897E-3</c:v>
                </c:pt>
                <c:pt idx="624">
                  <c:v>-9.0211509662782227E-2</c:v>
                </c:pt>
                <c:pt idx="625">
                  <c:v>-0.17046054238854239</c:v>
                </c:pt>
                <c:pt idx="626">
                  <c:v>-0.24866404860564034</c:v>
                </c:pt>
                <c:pt idx="627">
                  <c:v>-0.28878358623948219</c:v>
                </c:pt>
                <c:pt idx="628">
                  <c:v>-0.32543772083843803</c:v>
                </c:pt>
                <c:pt idx="629">
                  <c:v>-0.35818660278733122</c:v>
                </c:pt>
                <c:pt idx="630">
                  <c:v>-0.38663724550278694</c:v>
                </c:pt>
                <c:pt idx="631">
                  <c:v>-0.44069824127220336</c:v>
                </c:pt>
                <c:pt idx="632">
                  <c:v>-0.48948085814636694</c:v>
                </c:pt>
                <c:pt idx="633">
                  <c:v>-0.53237970472274843</c:v>
                </c:pt>
                <c:pt idx="634">
                  <c:v>-0.56889999484245435</c:v>
                </c:pt>
                <c:pt idx="635">
                  <c:v>-0.57777348502407666</c:v>
                </c:pt>
                <c:pt idx="636">
                  <c:v>-0.57972369338539664</c:v>
                </c:pt>
                <c:pt idx="637">
                  <c:v>-0.57471721742610027</c:v>
                </c:pt>
                <c:pt idx="638">
                  <c:v>-0.56630413485768416</c:v>
                </c:pt>
                <c:pt idx="639">
                  <c:v>-0.55109540267096913</c:v>
                </c:pt>
                <c:pt idx="640">
                  <c:v>-0.52928352565221637</c:v>
                </c:pt>
                <c:pt idx="641">
                  <c:v>-0.50111024632560996</c:v>
                </c:pt>
                <c:pt idx="642">
                  <c:v>-0.46692364404314102</c:v>
                </c:pt>
                <c:pt idx="643">
                  <c:v>-0.46883395803213285</c:v>
                </c:pt>
                <c:pt idx="644">
                  <c:v>-0.46512826452472283</c:v>
                </c:pt>
                <c:pt idx="645">
                  <c:v>-0.45583103184302759</c:v>
                </c:pt>
                <c:pt idx="646">
                  <c:v>-0.4410638267792269</c:v>
                </c:pt>
                <c:pt idx="647">
                  <c:v>-0.39746385579406301</c:v>
                </c:pt>
                <c:pt idx="648">
                  <c:v>-0.34908431853937755</c:v>
                </c:pt>
                <c:pt idx="649">
                  <c:v>-0.26624576946220879</c:v>
                </c:pt>
                <c:pt idx="650">
                  <c:v>-0.18021227115149938</c:v>
                </c:pt>
                <c:pt idx="651">
                  <c:v>-9.2026225586973945E-2</c:v>
                </c:pt>
                <c:pt idx="652">
                  <c:v>-2.72586531540513E-3</c:v>
                </c:pt>
                <c:pt idx="653">
                  <c:v>8.660720533994952E-2</c:v>
                </c:pt>
                <c:pt idx="654">
                  <c:v>9.8560989531225329E-2</c:v>
                </c:pt>
                <c:pt idx="655">
                  <c:v>0.10932204184812676</c:v>
                </c:pt>
                <c:pt idx="656">
                  <c:v>0.21098122966284499</c:v>
                </c:pt>
                <c:pt idx="657">
                  <c:v>0.31010864272161803</c:v>
                </c:pt>
                <c:pt idx="658">
                  <c:v>0.40552475206772925</c:v>
                </c:pt>
                <c:pt idx="659">
                  <c:v>0.41661456438901995</c:v>
                </c:pt>
                <c:pt idx="660">
                  <c:v>0.42269500193765908</c:v>
                </c:pt>
                <c:pt idx="661">
                  <c:v>0.42371309946304114</c:v>
                </c:pt>
                <c:pt idx="662">
                  <c:v>0.41964663979485345</c:v>
                </c:pt>
                <c:pt idx="663">
                  <c:v>0.49550442044914328</c:v>
                </c:pt>
                <c:pt idx="664">
                  <c:v>0.56541614805801987</c:v>
                </c:pt>
                <c:pt idx="665">
                  <c:v>0.62855288189021807</c:v>
                </c:pt>
                <c:pt idx="666">
                  <c:v>0.61651698113973985</c:v>
                </c:pt>
                <c:pt idx="667">
                  <c:v>0.59709287661557564</c:v>
                </c:pt>
                <c:pt idx="668">
                  <c:v>0.5974336575720155</c:v>
                </c:pt>
                <c:pt idx="669">
                  <c:v>0.59060523463760717</c:v>
                </c:pt>
                <c:pt idx="670">
                  <c:v>0.58944954888754875</c:v>
                </c:pt>
                <c:pt idx="671">
                  <c:v>0.58122046855082177</c:v>
                </c:pt>
                <c:pt idx="672">
                  <c:v>0.55172674259149412</c:v>
                </c:pt>
                <c:pt idx="673">
                  <c:v>0.54043229572108864</c:v>
                </c:pt>
                <c:pt idx="674">
                  <c:v>0.52265266130199595</c:v>
                </c:pt>
                <c:pt idx="675">
                  <c:v>0.4986011949472931</c:v>
                </c:pt>
                <c:pt idx="676">
                  <c:v>0.46856651425322604</c:v>
                </c:pt>
                <c:pt idx="677">
                  <c:v>0.43290903538811992</c:v>
                </c:pt>
                <c:pt idx="678">
                  <c:v>0.32726664809835065</c:v>
                </c:pt>
                <c:pt idx="679">
                  <c:v>0.21770706103141074</c:v>
                </c:pt>
                <c:pt idx="680">
                  <c:v>0.10553498923208525</c:v>
                </c:pt>
                <c:pt idx="681">
                  <c:v>-7.9135024380210008E-3</c:v>
                </c:pt>
                <c:pt idx="682">
                  <c:v>-0.12125703207887085</c:v>
                </c:pt>
                <c:pt idx="683">
                  <c:v>-0.23315547733477593</c:v>
                </c:pt>
                <c:pt idx="684">
                  <c:v>-0.26578605686266088</c:v>
                </c:pt>
                <c:pt idx="685">
                  <c:v>-0.29522720370819994</c:v>
                </c:pt>
                <c:pt idx="686">
                  <c:v>-0.32112562410923323</c:v>
                </c:pt>
                <c:pt idx="687">
                  <c:v>-0.37905053702095692</c:v>
                </c:pt>
                <c:pt idx="688">
                  <c:v>-0.43243684348844186</c:v>
                </c:pt>
                <c:pt idx="689">
                  <c:v>-0.42470390783405815</c:v>
                </c:pt>
                <c:pt idx="690">
                  <c:v>-0.57127452528565537</c:v>
                </c:pt>
                <c:pt idx="691">
                  <c:v>-0.61344984843383554</c:v>
                </c:pt>
                <c:pt idx="692">
                  <c:v>-0.64827377340079262</c:v>
                </c:pt>
                <c:pt idx="693">
                  <c:v>-0.67530841308696854</c:v>
                </c:pt>
                <c:pt idx="694">
                  <c:v>-0.69424935181607716</c:v>
                </c:pt>
                <c:pt idx="695">
                  <c:v>-0.70484929832339593</c:v>
                </c:pt>
                <c:pt idx="696">
                  <c:v>-0.65724105325084237</c:v>
                </c:pt>
                <c:pt idx="697">
                  <c:v>-0.60174591553927015</c:v>
                </c:pt>
                <c:pt idx="698">
                  <c:v>-0.5390298268412308</c:v>
                </c:pt>
                <c:pt idx="699">
                  <c:v>-0.46984538022112016</c:v>
                </c:pt>
                <c:pt idx="700">
                  <c:v>-0.39501278903832265</c:v>
                </c:pt>
                <c:pt idx="701">
                  <c:v>-0.3867000443870654</c:v>
                </c:pt>
                <c:pt idx="702">
                  <c:v>-0.37374689920319398</c:v>
                </c:pt>
                <c:pt idx="703">
                  <c:v>-0.35630879122886067</c:v>
                </c:pt>
                <c:pt idx="704">
                  <c:v>-0.33459497775978858</c:v>
                </c:pt>
                <c:pt idx="705">
                  <c:v>-0.3088660245575926</c:v>
                </c:pt>
                <c:pt idx="706">
                  <c:v>-0.27943067906070629</c:v>
                </c:pt>
                <c:pt idx="707">
                  <c:v>-0.24664216541509529</c:v>
                </c:pt>
                <c:pt idx="708">
                  <c:v>-0.16052394578450224</c:v>
                </c:pt>
                <c:pt idx="709">
                  <c:v>-7.2479438804494881E-2</c:v>
                </c:pt>
                <c:pt idx="710">
                  <c:v>1.642482144116619E-2</c:v>
                </c:pt>
                <c:pt idx="711">
                  <c:v>0.10514198382953173</c:v>
                </c:pt>
                <c:pt idx="712">
                  <c:v>0.13857744241194428</c:v>
                </c:pt>
                <c:pt idx="713">
                  <c:v>0.17033997168541598</c:v>
                </c:pt>
                <c:pt idx="714">
                  <c:v>0.20006842129865771</c:v>
                </c:pt>
                <c:pt idx="715">
                  <c:v>0.27240604985631894</c:v>
                </c:pt>
                <c:pt idx="716">
                  <c:v>0.34148480581570534</c:v>
                </c:pt>
                <c:pt idx="717">
                  <c:v>0.38515574410529807</c:v>
                </c:pt>
                <c:pt idx="718">
                  <c:v>0.4242048134656291</c:v>
                </c:pt>
                <c:pt idx="719">
                  <c:v>0.45816342506438745</c:v>
                </c:pt>
                <c:pt idx="720">
                  <c:v>0.4866340755623616</c:v>
                </c:pt>
                <c:pt idx="721">
                  <c:v>0.49584511715358537</c:v>
                </c:pt>
                <c:pt idx="722">
                  <c:v>0.49910601733895582</c:v>
                </c:pt>
                <c:pt idx="723">
                  <c:v>0.4963776453162892</c:v>
                </c:pt>
                <c:pt idx="724">
                  <c:v>0.55435274154978609</c:v>
                </c:pt>
                <c:pt idx="725">
                  <c:v>0.60566560488470478</c:v>
                </c:pt>
                <c:pt idx="726">
                  <c:v>0.60379048096101917</c:v>
                </c:pt>
                <c:pt idx="727">
                  <c:v>0.5946798712657807</c:v>
                </c:pt>
                <c:pt idx="728">
                  <c:v>0.61612310311536833</c:v>
                </c:pt>
                <c:pt idx="729">
                  <c:v>0.56420285772757617</c:v>
                </c:pt>
                <c:pt idx="730">
                  <c:v>0.50551217804705062</c:v>
                </c:pt>
                <c:pt idx="731">
                  <c:v>0.44075535222993717</c:v>
                </c:pt>
                <c:pt idx="732">
                  <c:v>0.37070946218607964</c:v>
                </c:pt>
                <c:pt idx="733">
                  <c:v>0.2962150585959864</c:v>
                </c:pt>
                <c:pt idx="734">
                  <c:v>0.31168607430275602</c:v>
                </c:pt>
                <c:pt idx="735">
                  <c:v>0.32342685711786923</c:v>
                </c:pt>
                <c:pt idx="736">
                  <c:v>0.23710651764758836</c:v>
                </c:pt>
                <c:pt idx="737">
                  <c:v>0.14793089996552669</c:v>
                </c:pt>
                <c:pt idx="738">
                  <c:v>5.6990111483879995E-2</c:v>
                </c:pt>
                <c:pt idx="739">
                  <c:v>3.3765441664429477E-2</c:v>
                </c:pt>
                <c:pt idx="740">
                  <c:v>1.012558654500369E-2</c:v>
                </c:pt>
                <c:pt idx="741">
                  <c:v>-1.3625775612962927E-2</c:v>
                </c:pt>
                <c:pt idx="742">
                  <c:v>-9.4233628463572833E-2</c:v>
                </c:pt>
                <c:pt idx="743">
                  <c:v>-0.173710677772625</c:v>
                </c:pt>
                <c:pt idx="744">
                  <c:v>-0.25110319894840277</c:v>
                </c:pt>
                <c:pt idx="745">
                  <c:v>-0.32548248173679822</c:v>
                </c:pt>
                <c:pt idx="746">
                  <c:v>-0.39595597474433986</c:v>
                </c:pt>
                <c:pt idx="747">
                  <c:v>-0.46167799605496135</c:v>
                </c:pt>
                <c:pt idx="748">
                  <c:v>-0.52185988141292483</c:v>
                </c:pt>
                <c:pt idx="749">
                  <c:v>-0.54039944819394248</c:v>
                </c:pt>
                <c:pt idx="750">
                  <c:v>-0.55244422159659956</c:v>
                </c:pt>
                <c:pt idx="751">
                  <c:v>-0.55786966434013052</c:v>
                </c:pt>
                <c:pt idx="752">
                  <c:v>-0.59640067111157469</c:v>
                </c:pt>
                <c:pt idx="753">
                  <c:v>-0.62777486982966946</c:v>
                </c:pt>
                <c:pt idx="754">
                  <c:v>-0.65161577010982608</c:v>
                </c:pt>
                <c:pt idx="755">
                  <c:v>-0.66763728114864473</c:v>
                </c:pt>
                <c:pt idx="756">
                  <c:v>-0.62890714481368504</c:v>
                </c:pt>
                <c:pt idx="757">
                  <c:v>-0.58263012274096904</c:v>
                </c:pt>
                <c:pt idx="758">
                  <c:v>-0.52935153919535582</c:v>
                </c:pt>
                <c:pt idx="759">
                  <c:v>-0.51339073717939809</c:v>
                </c:pt>
                <c:pt idx="760">
                  <c:v>-0.49125924631728074</c:v>
                </c:pt>
                <c:pt idx="761">
                  <c:v>-0.41920264449935885</c:v>
                </c:pt>
                <c:pt idx="762">
                  <c:v>-0.34212561094744925</c:v>
                </c:pt>
                <c:pt idx="763">
                  <c:v>-0.26093307006417721</c:v>
                </c:pt>
                <c:pt idx="764">
                  <c:v>-0.2174293323401236</c:v>
                </c:pt>
                <c:pt idx="765">
                  <c:v>-0.17131644262799015</c:v>
                </c:pt>
                <c:pt idx="766">
                  <c:v>-9.215775560432525E-2</c:v>
                </c:pt>
                <c:pt idx="767">
                  <c:v>-1.1903175513406038E-2</c:v>
                </c:pt>
                <c:pt idx="768">
                  <c:v>6.8504242683675928E-2</c:v>
                </c:pt>
                <c:pt idx="769">
                  <c:v>9.9589609968551332E-2</c:v>
                </c:pt>
                <c:pt idx="770">
                  <c:v>0.12947990193380546</c:v>
                </c:pt>
                <c:pt idx="771">
                  <c:v>0.15781643507584978</c:v>
                </c:pt>
                <c:pt idx="772">
                  <c:v>0.18425917099699432</c:v>
                </c:pt>
                <c:pt idx="773">
                  <c:v>0.20849079686616981</c:v>
                </c:pt>
                <c:pt idx="774">
                  <c:v>0.29392053317293765</c:v>
                </c:pt>
                <c:pt idx="775">
                  <c:v>0.37582322308164512</c:v>
                </c:pt>
                <c:pt idx="776">
                  <c:v>0.45321603431337093</c:v>
                </c:pt>
                <c:pt idx="777">
                  <c:v>0.47919025313333458</c:v>
                </c:pt>
                <c:pt idx="778">
                  <c:v>0.49940418891570787</c:v>
                </c:pt>
                <c:pt idx="779">
                  <c:v>0.5136352744310787</c:v>
                </c:pt>
                <c:pt idx="780">
                  <c:v>0.52169273665326854</c:v>
                </c:pt>
                <c:pt idx="781">
                  <c:v>0.52349988603564601</c:v>
                </c:pt>
                <c:pt idx="782">
                  <c:v>0.55261503678556356</c:v>
                </c:pt>
                <c:pt idx="783">
                  <c:v>0.57509880709408034</c:v>
                </c:pt>
                <c:pt idx="784">
                  <c:v>0.59068139171746836</c:v>
                </c:pt>
                <c:pt idx="785">
                  <c:v>0.59917579964022594</c:v>
                </c:pt>
                <c:pt idx="786">
                  <c:v>0.5661200979673302</c:v>
                </c:pt>
                <c:pt idx="787">
                  <c:v>0.52627095511879185</c:v>
                </c:pt>
                <c:pt idx="788">
                  <c:v>0.48010656080886038</c:v>
                </c:pt>
                <c:pt idx="789">
                  <c:v>0.42818088776919866</c:v>
                </c:pt>
                <c:pt idx="790">
                  <c:v>0.40963704407632245</c:v>
                </c:pt>
                <c:pt idx="791">
                  <c:v>0.38617755585452179</c:v>
                </c:pt>
                <c:pt idx="792">
                  <c:v>0.33849393696247332</c:v>
                </c:pt>
                <c:pt idx="793">
                  <c:v>0.3115883908268624</c:v>
                </c:pt>
                <c:pt idx="794">
                  <c:v>0.28095378400134474</c:v>
                </c:pt>
                <c:pt idx="795">
                  <c:v>0.17862773176779978</c:v>
                </c:pt>
                <c:pt idx="796">
                  <c:v>7.414814675304722E-2</c:v>
                </c:pt>
                <c:pt idx="797">
                  <c:v>-3.1211216022743377E-2</c:v>
                </c:pt>
                <c:pt idx="798">
                  <c:v>-0.1361960442062605</c:v>
                </c:pt>
                <c:pt idx="799">
                  <c:v>-0.16520651985930423</c:v>
                </c:pt>
                <c:pt idx="800">
                  <c:v>-0.19224451727403724</c:v>
                </c:pt>
                <c:pt idx="801">
                  <c:v>-0.21696558048147924</c:v>
                </c:pt>
                <c:pt idx="802">
                  <c:v>-0.23909305672315059</c:v>
                </c:pt>
                <c:pt idx="803">
                  <c:v>-0.32686141628413073</c:v>
                </c:pt>
                <c:pt idx="804">
                  <c:v>-0.36887743884971186</c:v>
                </c:pt>
                <c:pt idx="805">
                  <c:v>-0.40646693214910035</c:v>
                </c:pt>
                <c:pt idx="806">
                  <c:v>-0.43917882226267818</c:v>
                </c:pt>
                <c:pt idx="807">
                  <c:v>-0.48386056650912346</c:v>
                </c:pt>
                <c:pt idx="808">
                  <c:v>-0.52274598395744132</c:v>
                </c:pt>
                <c:pt idx="809">
                  <c:v>-0.55534844959828977</c:v>
                </c:pt>
                <c:pt idx="810">
                  <c:v>-0.56807673384395851</c:v>
                </c:pt>
                <c:pt idx="811">
                  <c:v>-0.57398809728349642</c:v>
                </c:pt>
                <c:pt idx="812">
                  <c:v>-0.60566160355561904</c:v>
                </c:pt>
                <c:pt idx="813">
                  <c:v>-0.63006717058508055</c:v>
                </c:pt>
                <c:pt idx="814">
                  <c:v>-0.60900193156752758</c:v>
                </c:pt>
                <c:pt idx="815">
                  <c:v>-0.57606866937115819</c:v>
                </c:pt>
                <c:pt idx="816">
                  <c:v>-0.53622258314233417</c:v>
                </c:pt>
                <c:pt idx="817">
                  <c:v>-0.48994182591581731</c:v>
                </c:pt>
                <c:pt idx="818">
                  <c:v>-0.43778176677828573</c:v>
                </c:pt>
                <c:pt idx="819">
                  <c:v>-0.42165832643944068</c:v>
                </c:pt>
                <c:pt idx="820">
                  <c:v>-0.40048498618330641</c:v>
                </c:pt>
                <c:pt idx="821">
                  <c:v>-0.3456258260929731</c:v>
                </c:pt>
                <c:pt idx="822">
                  <c:v>-0.28662915608954148</c:v>
                </c:pt>
                <c:pt idx="823">
                  <c:v>-0.22418293621301277</c:v>
                </c:pt>
                <c:pt idx="824">
                  <c:v>-0.15266652110193207</c:v>
                </c:pt>
                <c:pt idx="825">
                  <c:v>-7.9318107737637075E-2</c:v>
                </c:pt>
                <c:pt idx="826">
                  <c:v>-6.0278770804835739E-3</c:v>
                </c:pt>
                <c:pt idx="827">
                  <c:v>6.733468810163519E-2</c:v>
                </c:pt>
                <c:pt idx="828">
                  <c:v>0.13989923702653054</c:v>
                </c:pt>
                <c:pt idx="829">
                  <c:v>0.17876499510711008</c:v>
                </c:pt>
                <c:pt idx="830">
                  <c:v>0.28232557324640428</c:v>
                </c:pt>
                <c:pt idx="831">
                  <c:v>0.38250824450673615</c:v>
                </c:pt>
                <c:pt idx="832">
                  <c:v>0.47809081683300531</c:v>
                </c:pt>
                <c:pt idx="833">
                  <c:v>0.50269629935725901</c:v>
                </c:pt>
                <c:pt idx="834">
                  <c:v>0.52126942628924133</c:v>
                </c:pt>
                <c:pt idx="835">
                  <c:v>0.53357732010574088</c:v>
                </c:pt>
                <c:pt idx="836">
                  <c:v>0.53949228608096178</c:v>
                </c:pt>
                <c:pt idx="837">
                  <c:v>0.53893334462324327</c:v>
                </c:pt>
                <c:pt idx="838">
                  <c:v>0.55303720303001735</c:v>
                </c:pt>
                <c:pt idx="839">
                  <c:v>0.56050461500044102</c:v>
                </c:pt>
                <c:pt idx="840">
                  <c:v>0.56123597159085137</c:v>
                </c:pt>
                <c:pt idx="841">
                  <c:v>0.56466249652219713</c:v>
                </c:pt>
                <c:pt idx="842">
                  <c:v>0.57468307149523445</c:v>
                </c:pt>
                <c:pt idx="843">
                  <c:v>0.57780744961035901</c:v>
                </c:pt>
                <c:pt idx="844">
                  <c:v>0.53453813833015051</c:v>
                </c:pt>
                <c:pt idx="845">
                  <c:v>0.48486436938998362</c:v>
                </c:pt>
                <c:pt idx="846">
                  <c:v>0.42937222801713543</c:v>
                </c:pt>
                <c:pt idx="847">
                  <c:v>0.36871761990808943</c:v>
                </c:pt>
                <c:pt idx="848">
                  <c:v>0.30364840036014012</c:v>
                </c:pt>
                <c:pt idx="849">
                  <c:v>0.26683540000786277</c:v>
                </c:pt>
                <c:pt idx="850">
                  <c:v>0.22681037485549477</c:v>
                </c:pt>
                <c:pt idx="851">
                  <c:v>0.18407362520486734</c:v>
                </c:pt>
                <c:pt idx="852">
                  <c:v>0.16493799205177534</c:v>
                </c:pt>
                <c:pt idx="853">
                  <c:v>5.8013102994064432E-2</c:v>
                </c:pt>
                <c:pt idx="854">
                  <c:v>3.0320567004222241E-3</c:v>
                </c:pt>
                <c:pt idx="855">
                  <c:v>-5.1975374273625655E-2</c:v>
                </c:pt>
                <c:pt idx="856">
                  <c:v>-0.10635910075638705</c:v>
                </c:pt>
                <c:pt idx="857">
                  <c:v>-0.17056651803007719</c:v>
                </c:pt>
                <c:pt idx="858">
                  <c:v>-0.2327271370873964</c:v>
                </c:pt>
                <c:pt idx="859">
                  <c:v>-0.29208503049967316</c:v>
                </c:pt>
                <c:pt idx="860">
                  <c:v>-0.34794790354595889</c:v>
                </c:pt>
                <c:pt idx="861">
                  <c:v>-0.38929540174968602</c:v>
                </c:pt>
                <c:pt idx="862">
                  <c:v>-0.4259713551324224</c:v>
                </c:pt>
                <c:pt idx="863">
                  <c:v>-0.45752565225355263</c:v>
                </c:pt>
                <c:pt idx="864">
                  <c:v>-0.48359964154765994</c:v>
                </c:pt>
                <c:pt idx="865">
                  <c:v>-0.50387043514318708</c:v>
                </c:pt>
                <c:pt idx="866">
                  <c:v>-0.49702478351698953</c:v>
                </c:pt>
                <c:pt idx="867">
                  <c:v>-0.48422483448861892</c:v>
                </c:pt>
                <c:pt idx="868">
                  <c:v>-0.4656041874463463</c:v>
                </c:pt>
                <c:pt idx="869">
                  <c:v>-0.44140629015472321</c:v>
                </c:pt>
                <c:pt idx="870">
                  <c:v>-0.41190151738126379</c:v>
                </c:pt>
                <c:pt idx="871">
                  <c:v>-0.42144392639922346</c:v>
                </c:pt>
                <c:pt idx="872">
                  <c:v>-0.42591900830037976</c:v>
                </c:pt>
                <c:pt idx="873">
                  <c:v>-0.42529306210194701</c:v>
                </c:pt>
                <c:pt idx="874">
                  <c:v>-0.41955359915827811</c:v>
                </c:pt>
                <c:pt idx="875">
                  <c:v>-0.40878949302471534</c:v>
                </c:pt>
                <c:pt idx="876">
                  <c:v>-0.3931099129748537</c:v>
                </c:pt>
                <c:pt idx="877">
                  <c:v>-0.34943301396929932</c:v>
                </c:pt>
                <c:pt idx="878">
                  <c:v>-0.30156291879610692</c:v>
                </c:pt>
                <c:pt idx="879">
                  <c:v>-0.25007406859736941</c:v>
                </c:pt>
                <c:pt idx="880">
                  <c:v>-0.19558432957545932</c:v>
                </c:pt>
                <c:pt idx="881">
                  <c:v>-0.13874757859863932</c:v>
                </c:pt>
                <c:pt idx="882">
                  <c:v>-8.2405856678638853E-2</c:v>
                </c:pt>
                <c:pt idx="883">
                  <c:v>-2.4395264478495011E-2</c:v>
                </c:pt>
                <c:pt idx="884">
                  <c:v>3.3898070895389903E-2</c:v>
                </c:pt>
                <c:pt idx="885">
                  <c:v>9.1794629418530393E-2</c:v>
                </c:pt>
                <c:pt idx="886">
                  <c:v>0.13317965238864635</c:v>
                </c:pt>
                <c:pt idx="887">
                  <c:v>0.17296651953010217</c:v>
                </c:pt>
                <c:pt idx="888">
                  <c:v>0.21067778843719598</c:v>
                </c:pt>
                <c:pt idx="889">
                  <c:v>0.26889092388304031</c:v>
                </c:pt>
                <c:pt idx="890">
                  <c:v>0.323867368242298</c:v>
                </c:pt>
                <c:pt idx="891">
                  <c:v>0.37496740418263735</c:v>
                </c:pt>
                <c:pt idx="892">
                  <c:v>0.3994178312727954</c:v>
                </c:pt>
                <c:pt idx="893">
                  <c:v>0.41906524438767562</c:v>
                </c:pt>
                <c:pt idx="894">
                  <c:v>0.433693874569898</c:v>
                </c:pt>
                <c:pt idx="895">
                  <c:v>0.44310817825728671</c:v>
                </c:pt>
                <c:pt idx="896">
                  <c:v>0.47446518380559427</c:v>
                </c:pt>
                <c:pt idx="897">
                  <c:v>0.50012860714821783</c:v>
                </c:pt>
                <c:pt idx="898">
                  <c:v>0.51979048720507404</c:v>
                </c:pt>
                <c:pt idx="899">
                  <c:v>0.49640488141546379</c:v>
                </c:pt>
                <c:pt idx="900">
                  <c:v>0.46707241704887004</c:v>
                </c:pt>
                <c:pt idx="901">
                  <c:v>0.43213508367768733</c:v>
                </c:pt>
                <c:pt idx="902">
                  <c:v>0.42476212930237733</c:v>
                </c:pt>
                <c:pt idx="903">
                  <c:v>0.41229202937543769</c:v>
                </c:pt>
                <c:pt idx="904">
                  <c:v>0.39487442509600085</c:v>
                </c:pt>
                <c:pt idx="905">
                  <c:v>0.36298832771539807</c:v>
                </c:pt>
                <c:pt idx="906">
                  <c:v>0.32673637040222209</c:v>
                </c:pt>
                <c:pt idx="907">
                  <c:v>0.28656357664420384</c:v>
                </c:pt>
                <c:pt idx="908">
                  <c:v>0.2429620199664688</c:v>
                </c:pt>
                <c:pt idx="909">
                  <c:v>0.19643491904913463</c:v>
                </c:pt>
                <c:pt idx="910">
                  <c:v>0.1475605991032051</c:v>
                </c:pt>
                <c:pt idx="911">
                  <c:v>9.6905551968041362E-2</c:v>
                </c:pt>
                <c:pt idx="912">
                  <c:v>4.509763820926356E-2</c:v>
                </c:pt>
                <c:pt idx="913">
                  <c:v>-5.9914472080283172E-3</c:v>
                </c:pt>
                <c:pt idx="914">
                  <c:v>-5.7008635258825026E-2</c:v>
                </c:pt>
                <c:pt idx="915">
                  <c:v>-0.10734171968651432</c:v>
                </c:pt>
                <c:pt idx="916">
                  <c:v>-0.1563767034779657</c:v>
                </c:pt>
                <c:pt idx="917">
                  <c:v>-0.20354516682768389</c:v>
                </c:pt>
                <c:pt idx="918">
                  <c:v>-0.24827108817546822</c:v>
                </c:pt>
                <c:pt idx="919">
                  <c:v>-0.28671775646514108</c:v>
                </c:pt>
                <c:pt idx="920">
                  <c:v>-0.32172381167723701</c:v>
                </c:pt>
                <c:pt idx="921">
                  <c:v>-0.37300918114921422</c:v>
                </c:pt>
                <c:pt idx="922">
                  <c:v>-0.41981844044737709</c:v>
                </c:pt>
                <c:pt idx="923">
                  <c:v>-0.46158987846019528</c:v>
                </c:pt>
                <c:pt idx="924">
                  <c:v>-0.49782223793148023</c:v>
                </c:pt>
                <c:pt idx="925">
                  <c:v>-0.52809073054760169</c:v>
                </c:pt>
                <c:pt idx="926">
                  <c:v>-0.52823213439714267</c:v>
                </c:pt>
                <c:pt idx="927">
                  <c:v>-0.52203475263390942</c:v>
                </c:pt>
                <c:pt idx="928">
                  <c:v>-0.50956295383908745</c:v>
                </c:pt>
                <c:pt idx="929">
                  <c:v>-0.52843639959817246</c:v>
                </c:pt>
                <c:pt idx="930">
                  <c:v>-0.54096860856210971</c:v>
                </c:pt>
                <c:pt idx="931">
                  <c:v>-0.54700919422326444</c:v>
                </c:pt>
                <c:pt idx="932">
                  <c:v>-0.50063566955376237</c:v>
                </c:pt>
                <c:pt idx="933">
                  <c:v>-0.44825451684960771</c:v>
                </c:pt>
                <c:pt idx="934">
                  <c:v>-0.39048430994326461</c:v>
                </c:pt>
                <c:pt idx="935">
                  <c:v>-0.32803829131760293</c:v>
                </c:pt>
                <c:pt idx="936">
                  <c:v>-0.26165581319612541</c:v>
                </c:pt>
                <c:pt idx="937">
                  <c:v>-0.19213346531629907</c:v>
                </c:pt>
                <c:pt idx="938">
                  <c:v>-0.15384551585267275</c:v>
                </c:pt>
                <c:pt idx="939">
                  <c:v>-0.11372142019881692</c:v>
                </c:pt>
                <c:pt idx="940">
                  <c:v>-7.2222667502573321E-2</c:v>
                </c:pt>
                <c:pt idx="941">
                  <c:v>-2.9857242796300313E-2</c:v>
                </c:pt>
                <c:pt idx="942">
                  <c:v>1.313646882352879E-2</c:v>
                </c:pt>
                <c:pt idx="943">
                  <c:v>5.5982542817476721E-2</c:v>
                </c:pt>
                <c:pt idx="944">
                  <c:v>9.8156826297615685E-2</c:v>
                </c:pt>
                <c:pt idx="945">
                  <c:v>0.17659322786217624</c:v>
                </c:pt>
                <c:pt idx="946">
                  <c:v>0.2529205106924009</c:v>
                </c:pt>
                <c:pt idx="947">
                  <c:v>0.32620274739430988</c:v>
                </c:pt>
                <c:pt idx="948">
                  <c:v>0.37323055112749126</c:v>
                </c:pt>
                <c:pt idx="949">
                  <c:v>0.41577958824714173</c:v>
                </c:pt>
                <c:pt idx="950">
                  <c:v>0.45333927030781829</c:v>
                </c:pt>
                <c:pt idx="951">
                  <c:v>0.51106888112480675</c:v>
                </c:pt>
                <c:pt idx="952">
                  <c:v>0.52109566536831176</c:v>
                </c:pt>
                <c:pt idx="953">
                  <c:v>0.52486930162737655</c:v>
                </c:pt>
                <c:pt idx="954">
                  <c:v>0.52234450626692175</c:v>
                </c:pt>
                <c:pt idx="955">
                  <c:v>0.51355157683125563</c:v>
                </c:pt>
                <c:pt idx="956">
                  <c:v>0.49859602847361628</c:v>
                </c:pt>
                <c:pt idx="957">
                  <c:v>0.4958573277743204</c:v>
                </c:pt>
                <c:pt idx="958">
                  <c:v>0.48716833914170216</c:v>
                </c:pt>
                <c:pt idx="959">
                  <c:v>0.46869333043939376</c:v>
                </c:pt>
                <c:pt idx="960">
                  <c:v>0.44459400177180186</c:v>
                </c:pt>
                <c:pt idx="961">
                  <c:v>0.41515954508295966</c:v>
                </c:pt>
                <c:pt idx="962">
                  <c:v>0.40897317385312282</c:v>
                </c:pt>
                <c:pt idx="963">
                  <c:v>0.39787912453704499</c:v>
                </c:pt>
                <c:pt idx="964">
                  <c:v>0.38201052572652255</c:v>
                </c:pt>
                <c:pt idx="965">
                  <c:v>0.32188780060727867</c:v>
                </c:pt>
                <c:pt idx="966">
                  <c:v>0.25791242188076069</c:v>
                </c:pt>
                <c:pt idx="967">
                  <c:v>0.19083209409165822</c:v>
                </c:pt>
                <c:pt idx="968">
                  <c:v>0.12146178117346272</c:v>
                </c:pt>
                <c:pt idx="969">
                  <c:v>5.0643926881184735E-2</c:v>
                </c:pt>
                <c:pt idx="970">
                  <c:v>-2.0791654533667644E-2</c:v>
                </c:pt>
                <c:pt idx="971">
                  <c:v>-9.1967736094116084E-2</c:v>
                </c:pt>
                <c:pt idx="972">
                  <c:v>-0.12381020482143652</c:v>
                </c:pt>
                <c:pt idx="973">
                  <c:v>-0.15416695109089512</c:v>
                </c:pt>
                <c:pt idx="974">
                  <c:v>-0.18267369394726807</c:v>
                </c:pt>
                <c:pt idx="975">
                  <c:v>-0.20898835247627667</c:v>
                </c:pt>
                <c:pt idx="976">
                  <c:v>-0.27353515077555618</c:v>
                </c:pt>
                <c:pt idx="977">
                  <c:v>-0.33479952726553786</c:v>
                </c:pt>
                <c:pt idx="978">
                  <c:v>-0.39205630942833625</c:v>
                </c:pt>
                <c:pt idx="979">
                  <c:v>-0.44459841587798743</c:v>
                </c:pt>
                <c:pt idx="980">
                  <c:v>-0.49180534133711445</c:v>
                </c:pt>
                <c:pt idx="981">
                  <c:v>-0.53311060270019339</c:v>
                </c:pt>
                <c:pt idx="982">
                  <c:v>-0.56802853683085053</c:v>
                </c:pt>
                <c:pt idx="983">
                  <c:v>-0.58374012851955537</c:v>
                </c:pt>
                <c:pt idx="984">
                  <c:v>-0.59245683866602539</c:v>
                </c:pt>
                <c:pt idx="985">
                  <c:v>-0.59402406674850106</c:v>
                </c:pt>
                <c:pt idx="986">
                  <c:v>-0.58847300602999841</c:v>
                </c:pt>
                <c:pt idx="987">
                  <c:v>-0.57585026923912508</c:v>
                </c:pt>
                <c:pt idx="988">
                  <c:v>-0.5491573292173979</c:v>
                </c:pt>
                <c:pt idx="989">
                  <c:v>-0.51587450124504586</c:v>
                </c:pt>
                <c:pt idx="990">
                  <c:v>-0.46901117925776148</c:v>
                </c:pt>
                <c:pt idx="991">
                  <c:v>-0.41650972311937839</c:v>
                </c:pt>
                <c:pt idx="992">
                  <c:v>-0.35902015030356282</c:v>
                </c:pt>
                <c:pt idx="993">
                  <c:v>-0.29721233568411487</c:v>
                </c:pt>
                <c:pt idx="994">
                  <c:v>-0.25010797303644333</c:v>
                </c:pt>
                <c:pt idx="995">
                  <c:v>-0.20000231471234592</c:v>
                </c:pt>
                <c:pt idx="996">
                  <c:v>-0.14749662861169915</c:v>
                </c:pt>
                <c:pt idx="997">
                  <c:v>-9.322098296770466E-2</c:v>
                </c:pt>
                <c:pt idx="998">
                  <c:v>-1.1996685528102395E-2</c:v>
                </c:pt>
                <c:pt idx="999">
                  <c:v>6.9381572137837189E-2</c:v>
                </c:pt>
                <c:pt idx="1000">
                  <c:v>0.14992725093812162</c:v>
                </c:pt>
                <c:pt idx="1001">
                  <c:v>0.22866380272715084</c:v>
                </c:pt>
                <c:pt idx="1002">
                  <c:v>0.30466638888345265</c:v>
                </c:pt>
                <c:pt idx="1003">
                  <c:v>0.34676297837315551</c:v>
                </c:pt>
                <c:pt idx="1004">
                  <c:v>0.38468841212236854</c:v>
                </c:pt>
                <c:pt idx="1005">
                  <c:v>0.41800758492613593</c:v>
                </c:pt>
                <c:pt idx="1006">
                  <c:v>0.44631066671077779</c:v>
                </c:pt>
                <c:pt idx="1007">
                  <c:v>0.46740802049488428</c:v>
                </c:pt>
                <c:pt idx="1008">
                  <c:v>0.48290647803306097</c:v>
                </c:pt>
                <c:pt idx="1009">
                  <c:v>0.49261005783482292</c:v>
                </c:pt>
                <c:pt idx="1010">
                  <c:v>0.49639231694259023</c:v>
                </c:pt>
                <c:pt idx="1011">
                  <c:v>0.49422786824703835</c:v>
                </c:pt>
                <c:pt idx="1012">
                  <c:v>0.48612268513251522</c:v>
                </c:pt>
                <c:pt idx="1013">
                  <c:v>0.4721940297964296</c:v>
                </c:pt>
                <c:pt idx="1014">
                  <c:v>0.48459904610275401</c:v>
                </c:pt>
                <c:pt idx="1015">
                  <c:v>0.49118887385585053</c:v>
                </c:pt>
                <c:pt idx="1016">
                  <c:v>0.49188443512267632</c:v>
                </c:pt>
                <c:pt idx="1017">
                  <c:v>0.4866673831680412</c:v>
                </c:pt>
                <c:pt idx="1018">
                  <c:v>0.4756203226153905</c:v>
                </c:pt>
                <c:pt idx="1019">
                  <c:v>0.45886581819135158</c:v>
                </c:pt>
                <c:pt idx="1020">
                  <c:v>0.39779492394901095</c:v>
                </c:pt>
                <c:pt idx="1021">
                  <c:v>0.33195049061928317</c:v>
                </c:pt>
                <c:pt idx="1022">
                  <c:v>0.26212265140212587</c:v>
                </c:pt>
                <c:pt idx="1023">
                  <c:v>0.18914934036814554</c:v>
                </c:pt>
                <c:pt idx="1024">
                  <c:v>0.11389623724974333</c:v>
                </c:pt>
                <c:pt idx="1025">
                  <c:v>3.7286379284349733E-2</c:v>
                </c:pt>
                <c:pt idx="1026">
                  <c:v>2.7390847675396422E-3</c:v>
                </c:pt>
                <c:pt idx="1027">
                  <c:v>-3.1841078766479784E-2</c:v>
                </c:pt>
                <c:pt idx="1028">
                  <c:v>-6.6039149355303237E-2</c:v>
                </c:pt>
                <c:pt idx="1029">
                  <c:v>-9.9444750151860509E-2</c:v>
                </c:pt>
                <c:pt idx="1030">
                  <c:v>-0.13165701394660112</c:v>
                </c:pt>
                <c:pt idx="1031">
                  <c:v>-0.20409939357396867</c:v>
                </c:pt>
                <c:pt idx="1032">
                  <c:v>-0.27409258047846052</c:v>
                </c:pt>
                <c:pt idx="1033">
                  <c:v>-0.34079665641721224</c:v>
                </c:pt>
                <c:pt idx="1034">
                  <c:v>-0.40341117247894281</c:v>
                </c:pt>
                <c:pt idx="1035">
                  <c:v>-0.46117475447094919</c:v>
                </c:pt>
                <c:pt idx="1036">
                  <c:v>-0.51341423940928255</c:v>
                </c:pt>
                <c:pt idx="1037">
                  <c:v>-0.55949275347472704</c:v>
                </c:pt>
                <c:pt idx="1038">
                  <c:v>-0.59885735449845956</c:v>
                </c:pt>
                <c:pt idx="1039">
                  <c:v>-0.63103566726820104</c:v>
                </c:pt>
                <c:pt idx="1040">
                  <c:v>-0.60273155203073925</c:v>
                </c:pt>
                <c:pt idx="1041">
                  <c:v>-0.56719465816891346</c:v>
                </c:pt>
                <c:pt idx="1042">
                  <c:v>-0.5248514284090372</c:v>
                </c:pt>
                <c:pt idx="1043">
                  <c:v>-0.47619998150827225</c:v>
                </c:pt>
                <c:pt idx="1044">
                  <c:v>-0.42184413482938654</c:v>
                </c:pt>
                <c:pt idx="1045">
                  <c:v>-0.40957615853258467</c:v>
                </c:pt>
                <c:pt idx="1046">
                  <c:v>-0.39239326833336807</c:v>
                </c:pt>
                <c:pt idx="1047">
                  <c:v>-0.37050165891415032</c:v>
                </c:pt>
                <c:pt idx="1048">
                  <c:v>-0.33338402958797347</c:v>
                </c:pt>
                <c:pt idx="1049">
                  <c:v>-0.29225579190673195</c:v>
                </c:pt>
                <c:pt idx="1050">
                  <c:v>-0.24763048472261706</c:v>
                </c:pt>
                <c:pt idx="1051">
                  <c:v>-0.22227361172182319</c:v>
                </c:pt>
                <c:pt idx="1052">
                  <c:v>-0.1942494553803728</c:v>
                </c:pt>
                <c:pt idx="1053">
                  <c:v>-0.12242430557435281</c:v>
                </c:pt>
                <c:pt idx="1054">
                  <c:v>-4.9130064101444132E-2</c:v>
                </c:pt>
                <c:pt idx="1055">
                  <c:v>2.4743738140683806E-2</c:v>
                </c:pt>
                <c:pt idx="1056">
                  <c:v>9.8330615525123261E-2</c:v>
                </c:pt>
                <c:pt idx="1057">
                  <c:v>0.17073752552325838</c:v>
                </c:pt>
                <c:pt idx="1058">
                  <c:v>0.20960558521511796</c:v>
                </c:pt>
                <c:pt idx="1059">
                  <c:v>0.24595837788439837</c:v>
                </c:pt>
                <c:pt idx="1060">
                  <c:v>0.27935967001905831</c:v>
                </c:pt>
                <c:pt idx="1061">
                  <c:v>0.30941864611349135</c:v>
                </c:pt>
                <c:pt idx="1062">
                  <c:v>0.33575459845456079</c:v>
                </c:pt>
                <c:pt idx="1063">
                  <c:v>0.35806149561418144</c:v>
                </c:pt>
                <c:pt idx="1064">
                  <c:v>0.38356165482643018</c:v>
                </c:pt>
                <c:pt idx="1065">
                  <c:v>0.40445907418076504</c:v>
                </c:pt>
                <c:pt idx="1066">
                  <c:v>0.42049298464492435</c:v>
                </c:pt>
                <c:pt idx="1067">
                  <c:v>0.43149097929335783</c:v>
                </c:pt>
                <c:pt idx="1068">
                  <c:v>0.43731108219025733</c:v>
                </c:pt>
                <c:pt idx="1069">
                  <c:v>0.46357345210086554</c:v>
                </c:pt>
                <c:pt idx="1070">
                  <c:v>0.48427294058626597</c:v>
                </c:pt>
                <c:pt idx="1071">
                  <c:v>0.48053115378465616</c:v>
                </c:pt>
                <c:pt idx="1072">
                  <c:v>0.47101299313761186</c:v>
                </c:pt>
                <c:pt idx="1073">
                  <c:v>0.45584267657292149</c:v>
                </c:pt>
                <c:pt idx="1074">
                  <c:v>0.44323224788935484</c:v>
                </c:pt>
                <c:pt idx="1075">
                  <c:v>0.42530303223110938</c:v>
                </c:pt>
                <c:pt idx="1076">
                  <c:v>0.40227018018609922</c:v>
                </c:pt>
                <c:pt idx="1077">
                  <c:v>0.35635008597884998</c:v>
                </c:pt>
                <c:pt idx="1078">
                  <c:v>0.30615379073985205</c:v>
                </c:pt>
                <c:pt idx="1079">
                  <c:v>0.25228365001199371</c:v>
                </c:pt>
                <c:pt idx="1080">
                  <c:v>0.19538610548397145</c:v>
                </c:pt>
                <c:pt idx="1081">
                  <c:v>0.13613392769015004</c:v>
                </c:pt>
                <c:pt idx="1082">
                  <c:v>9.0158142764040286E-2</c:v>
                </c:pt>
                <c:pt idx="1083">
                  <c:v>4.3100460124768328E-2</c:v>
                </c:pt>
                <c:pt idx="1084">
                  <c:v>-4.484428036000002E-3</c:v>
                </c:pt>
                <c:pt idx="1085">
                  <c:v>-6.3295503060339361E-2</c:v>
                </c:pt>
                <c:pt idx="1086">
                  <c:v>-0.12135703204795315</c:v>
                </c:pt>
                <c:pt idx="1087">
                  <c:v>-0.17796227665099273</c:v>
                </c:pt>
                <c:pt idx="1088">
                  <c:v>-0.23242197393421843</c:v>
                </c:pt>
                <c:pt idx="1089">
                  <c:v>-0.2841026075302332</c:v>
                </c:pt>
                <c:pt idx="1090">
                  <c:v>-0.33236400983588638</c:v>
                </c:pt>
                <c:pt idx="1091">
                  <c:v>-0.30351704402351193</c:v>
                </c:pt>
                <c:pt idx="1092">
                  <c:v>-0.2710278736828492</c:v>
                </c:pt>
                <c:pt idx="1093">
                  <c:v>-0.31106636885799666</c:v>
                </c:pt>
                <c:pt idx="1094">
                  <c:v>-0.34738206760685697</c:v>
                </c:pt>
                <c:pt idx="1095">
                  <c:v>-0.3795291815444175</c:v>
                </c:pt>
                <c:pt idx="1096">
                  <c:v>-0.40712194530346296</c:v>
                </c:pt>
                <c:pt idx="1097">
                  <c:v>-0.42100924571885406</c:v>
                </c:pt>
                <c:pt idx="1098">
                  <c:v>-0.42984443518561538</c:v>
                </c:pt>
                <c:pt idx="1099">
                  <c:v>-0.43352149143016921</c:v>
                </c:pt>
                <c:pt idx="1100">
                  <c:v>-0.4510362897775389</c:v>
                </c:pt>
                <c:pt idx="1101">
                  <c:v>-0.46314865264758703</c:v>
                </c:pt>
                <c:pt idx="1102">
                  <c:v>-0.46970323168586853</c:v>
                </c:pt>
                <c:pt idx="1103">
                  <c:v>-0.47061137194390112</c:v>
                </c:pt>
                <c:pt idx="1104">
                  <c:v>-0.46588217573862323</c:v>
                </c:pt>
                <c:pt idx="1105">
                  <c:v>-0.41338239342447908</c:v>
                </c:pt>
                <c:pt idx="1106">
                  <c:v>-0.35591202238924136</c:v>
                </c:pt>
                <c:pt idx="1107">
                  <c:v>-0.29417070708533977</c:v>
                </c:pt>
                <c:pt idx="1108">
                  <c:v>-0.2289093432964015</c:v>
                </c:pt>
                <c:pt idx="1109">
                  <c:v>-0.16089106738791362</c:v>
                </c:pt>
                <c:pt idx="1110">
                  <c:v>-0.12590209867077315</c:v>
                </c:pt>
                <c:pt idx="1111">
                  <c:v>-8.9402304769576474E-2</c:v>
                </c:pt>
                <c:pt idx="1112">
                  <c:v>-5.1839683211146646E-2</c:v>
                </c:pt>
                <c:pt idx="1113">
                  <c:v>-1.3644985454184718E-2</c:v>
                </c:pt>
                <c:pt idx="1114">
                  <c:v>2.4713452128229379E-2</c:v>
                </c:pt>
                <c:pt idx="1115">
                  <c:v>7.9095328285100006E-2</c:v>
                </c:pt>
                <c:pt idx="1116">
                  <c:v>0.13251806050255335</c:v>
                </c:pt>
                <c:pt idx="1117">
                  <c:v>0.18436057599397404</c:v>
                </c:pt>
                <c:pt idx="1118">
                  <c:v>0.23399076457346865</c:v>
                </c:pt>
                <c:pt idx="1119">
                  <c:v>0.2728630639780823</c:v>
                </c:pt>
                <c:pt idx="1120">
                  <c:v>0.30845100661495894</c:v>
                </c:pt>
                <c:pt idx="1121">
                  <c:v>0.34034753717245358</c:v>
                </c:pt>
                <c:pt idx="1122">
                  <c:v>0.36814989728388686</c:v>
                </c:pt>
                <c:pt idx="1123">
                  <c:v>0.39153445862789932</c:v>
                </c:pt>
                <c:pt idx="1124">
                  <c:v>0.41515060646838026</c:v>
                </c:pt>
                <c:pt idx="1125">
                  <c:v>0.43377494703124642</c:v>
                </c:pt>
                <c:pt idx="1126">
                  <c:v>0.43349398822973162</c:v>
                </c:pt>
                <c:pt idx="1127">
                  <c:v>0.42800110156947752</c:v>
                </c:pt>
                <c:pt idx="1128">
                  <c:v>0.41738220169037443</c:v>
                </c:pt>
                <c:pt idx="1129">
                  <c:v>0.40174471539099021</c:v>
                </c:pt>
                <c:pt idx="1130">
                  <c:v>0.38129629250691077</c:v>
                </c:pt>
                <c:pt idx="1131">
                  <c:v>0.35626231411275533</c:v>
                </c:pt>
                <c:pt idx="1132">
                  <c:v>0.38349318794924508</c:v>
                </c:pt>
                <c:pt idx="1133">
                  <c:v>0.40612214353033349</c:v>
                </c:pt>
                <c:pt idx="1134">
                  <c:v>0.42386763338906996</c:v>
                </c:pt>
                <c:pt idx="1135">
                  <c:v>0.38292671164712883</c:v>
                </c:pt>
                <c:pt idx="1136">
                  <c:v>0.33739066936543188</c:v>
                </c:pt>
                <c:pt idx="1137">
                  <c:v>0.28780593905134005</c:v>
                </c:pt>
                <c:pt idx="1138">
                  <c:v>0.24347753746864051</c:v>
                </c:pt>
                <c:pt idx="1139">
                  <c:v>0.19622740543630604</c:v>
                </c:pt>
                <c:pt idx="1140">
                  <c:v>0.14662254453874557</c:v>
                </c:pt>
                <c:pt idx="1141">
                  <c:v>8.4458213106718347E-2</c:v>
                </c:pt>
                <c:pt idx="1142">
                  <c:v>2.1280383117408281E-2</c:v>
                </c:pt>
                <c:pt idx="1143">
                  <c:v>-4.2152811469308354E-2</c:v>
                </c:pt>
                <c:pt idx="1144">
                  <c:v>-0.10509017231839345</c:v>
                </c:pt>
                <c:pt idx="1145">
                  <c:v>-0.16675645109965728</c:v>
                </c:pt>
                <c:pt idx="1146">
                  <c:v>-0.22642165246773097</c:v>
                </c:pt>
                <c:pt idx="1147">
                  <c:v>-0.26309979400618733</c:v>
                </c:pt>
                <c:pt idx="1148">
                  <c:v>-0.29662073801656369</c:v>
                </c:pt>
                <c:pt idx="1149">
                  <c:v>-0.33783223317074801</c:v>
                </c:pt>
                <c:pt idx="1150">
                  <c:v>-0.3749897415268903</c:v>
                </c:pt>
                <c:pt idx="1151">
                  <c:v>-0.40765737298470006</c:v>
                </c:pt>
                <c:pt idx="1152">
                  <c:v>-0.43542311596668748</c:v>
                </c:pt>
                <c:pt idx="1153">
                  <c:v>-0.45797378155708768</c:v>
                </c:pt>
                <c:pt idx="1154">
                  <c:v>-0.45326876176880226</c:v>
                </c:pt>
                <c:pt idx="1155">
                  <c:v>-0.4431345168392879</c:v>
                </c:pt>
                <c:pt idx="1156">
                  <c:v>-0.42767265770770385</c:v>
                </c:pt>
                <c:pt idx="1157">
                  <c:v>-0.42926872668362037</c:v>
                </c:pt>
                <c:pt idx="1158">
                  <c:v>-0.42570357093933869</c:v>
                </c:pt>
                <c:pt idx="1159">
                  <c:v>-0.4170299723437777</c:v>
                </c:pt>
                <c:pt idx="1160">
                  <c:v>-0.40335201408009907</c:v>
                </c:pt>
                <c:pt idx="1161">
                  <c:v>-0.38290383164745007</c:v>
                </c:pt>
                <c:pt idx="1162">
                  <c:v>-0.35785080323505208</c:v>
                </c:pt>
                <c:pt idx="1163">
                  <c:v>-0.33760356518381524</c:v>
                </c:pt>
                <c:pt idx="1164">
                  <c:v>-0.31331508435037886</c:v>
                </c:pt>
                <c:pt idx="1165">
                  <c:v>-0.28525682250473727</c:v>
                </c:pt>
                <c:pt idx="1166">
                  <c:v>-0.25377547878903739</c:v>
                </c:pt>
                <c:pt idx="1167">
                  <c:v>-0.21924882932786766</c:v>
                </c:pt>
                <c:pt idx="1168">
                  <c:v>-0.18210119391477123</c:v>
                </c:pt>
                <c:pt idx="1169">
                  <c:v>-0.12185834417468937</c:v>
                </c:pt>
                <c:pt idx="1170">
                  <c:v>-6.0153194304513304E-2</c:v>
                </c:pt>
                <c:pt idx="1171">
                  <c:v>2.2737938973154109E-3</c:v>
                </c:pt>
                <c:pt idx="1172">
                  <c:v>6.4673496572376435E-2</c:v>
                </c:pt>
                <c:pt idx="1173">
                  <c:v>0.12629711728857168</c:v>
                </c:pt>
                <c:pt idx="1174">
                  <c:v>0.18640517259729947</c:v>
                </c:pt>
                <c:pt idx="1175">
                  <c:v>0.22422636583487118</c:v>
                </c:pt>
                <c:pt idx="1176">
                  <c:v>0.25935684268240528</c:v>
                </c:pt>
                <c:pt idx="1177">
                  <c:v>0.29137503741776849</c:v>
                </c:pt>
                <c:pt idx="1178">
                  <c:v>0.31989673170410099</c:v>
                </c:pt>
                <c:pt idx="1179">
                  <c:v>0.34457966520999406</c:v>
                </c:pt>
                <c:pt idx="1180">
                  <c:v>0.40816764273336831</c:v>
                </c:pt>
                <c:pt idx="1181">
                  <c:v>0.46686760854394022</c:v>
                </c:pt>
                <c:pt idx="1182">
                  <c:v>0.47056516305198426</c:v>
                </c:pt>
                <c:pt idx="1183">
                  <c:v>0.46861593560341536</c:v>
                </c:pt>
                <c:pt idx="1184">
                  <c:v>0.46105331692758605</c:v>
                </c:pt>
                <c:pt idx="1185">
                  <c:v>0.44794805844864272</c:v>
                </c:pt>
                <c:pt idx="1186">
                  <c:v>0.46100742326830085</c:v>
                </c:pt>
                <c:pt idx="1187">
                  <c:v>0.4685246990087516</c:v>
                </c:pt>
                <c:pt idx="1188">
                  <c:v>0.47042967836108307</c:v>
                </c:pt>
                <c:pt idx="1189">
                  <c:v>0.46667950157310267</c:v>
                </c:pt>
                <c:pt idx="1190">
                  <c:v>0.45733917076622599</c:v>
                </c:pt>
                <c:pt idx="1191">
                  <c:v>0.39865076991016463</c:v>
                </c:pt>
                <c:pt idx="1192">
                  <c:v>0.33517855981517702</c:v>
                </c:pt>
                <c:pt idx="1193">
                  <c:v>0.26769420700240104</c:v>
                </c:pt>
                <c:pt idx="1194">
                  <c:v>0.19698752370561534</c:v>
                </c:pt>
                <c:pt idx="1195">
                  <c:v>0.17015699012434957</c:v>
                </c:pt>
                <c:pt idx="1196">
                  <c:v>0.14128457266159261</c:v>
                </c:pt>
                <c:pt idx="1197">
                  <c:v>0.11072674032689787</c:v>
                </c:pt>
                <c:pt idx="1198">
                  <c:v>7.8830187108279229E-2</c:v>
                </c:pt>
                <c:pt idx="1199">
                  <c:v>4.5987671644362238E-2</c:v>
                </c:pt>
                <c:pt idx="1200">
                  <c:v>-2.0786695879289156E-2</c:v>
                </c:pt>
                <c:pt idx="1201">
                  <c:v>-8.7311623052385795E-2</c:v>
                </c:pt>
                <c:pt idx="1202">
                  <c:v>-0.15278881074885872</c:v>
                </c:pt>
                <c:pt idx="1203">
                  <c:v>-0.21643253271633708</c:v>
                </c:pt>
                <c:pt idx="1204">
                  <c:v>-0.27747906429122571</c:v>
                </c:pt>
                <c:pt idx="1205">
                  <c:v>-0.33519584709462352</c:v>
                </c:pt>
                <c:pt idx="1206">
                  <c:v>-0.38889027973288032</c:v>
                </c:pt>
                <c:pt idx="1207">
                  <c:v>-0.43791802901434196</c:v>
                </c:pt>
                <c:pt idx="1208">
                  <c:v>-0.41559076194763211</c:v>
                </c:pt>
                <c:pt idx="1209">
                  <c:v>-0.38828640573755363</c:v>
                </c:pt>
                <c:pt idx="1210">
                  <c:v>-0.35631261265861319</c:v>
                </c:pt>
                <c:pt idx="1211">
                  <c:v>-0.32006306822778341</c:v>
                </c:pt>
                <c:pt idx="1212">
                  <c:v>-0.36719276697821063</c:v>
                </c:pt>
                <c:pt idx="1213">
                  <c:v>-0.4099161525249152</c:v>
                </c:pt>
                <c:pt idx="1214">
                  <c:v>-0.44772054424129909</c:v>
                </c:pt>
                <c:pt idx="1215">
                  <c:v>-0.48015228942679694</c:v>
                </c:pt>
                <c:pt idx="1216">
                  <c:v>-0.50682220713918735</c:v>
                </c:pt>
                <c:pt idx="1217">
                  <c:v>-0.52740025836588411</c:v>
                </c:pt>
                <c:pt idx="1218">
                  <c:v>-0.54165950649220485</c:v>
                </c:pt>
                <c:pt idx="1219">
                  <c:v>-0.41934884054060839</c:v>
                </c:pt>
                <c:pt idx="1220">
                  <c:v>-0.29200598850253295</c:v>
                </c:pt>
                <c:pt idx="1221">
                  <c:v>-0.26498906460243471</c:v>
                </c:pt>
                <c:pt idx="1222">
                  <c:v>-0.23479227192708516</c:v>
                </c:pt>
                <c:pt idx="1223">
                  <c:v>-0.20177797198863257</c:v>
                </c:pt>
                <c:pt idx="1224">
                  <c:v>-0.16635233638630015</c:v>
                </c:pt>
                <c:pt idx="1225">
                  <c:v>-0.12892047274733956</c:v>
                </c:pt>
                <c:pt idx="1226">
                  <c:v>-5.2181563435410624E-2</c:v>
                </c:pt>
                <c:pt idx="1227">
                  <c:v>2.5193524637743065E-2</c:v>
                </c:pt>
                <c:pt idx="1228">
                  <c:v>7.1596290415244526E-2</c:v>
                </c:pt>
                <c:pt idx="1229">
                  <c:v>0.11713990070776341</c:v>
                </c:pt>
                <c:pt idx="1230">
                  <c:v>0.16126783219178736</c:v>
                </c:pt>
                <c:pt idx="1231">
                  <c:v>0.21077054968951037</c:v>
                </c:pt>
                <c:pt idx="1232">
                  <c:v>0.25774402059095758</c:v>
                </c:pt>
                <c:pt idx="1233">
                  <c:v>0.27807456324532331</c:v>
                </c:pt>
                <c:pt idx="1234">
                  <c:v>0.29506821114073756</c:v>
                </c:pt>
                <c:pt idx="1235">
                  <c:v>0.30853104050245372</c:v>
                </c:pt>
                <c:pt idx="1236">
                  <c:v>0.31828149737815697</c:v>
                </c:pt>
                <c:pt idx="1237">
                  <c:v>0.32422257628531187</c:v>
                </c:pt>
                <c:pt idx="1238">
                  <c:v>0.34358298427705247</c:v>
                </c:pt>
                <c:pt idx="1239">
                  <c:v>0.35882039645745989</c:v>
                </c:pt>
                <c:pt idx="1240">
                  <c:v>0.36975196388037196</c:v>
                </c:pt>
                <c:pt idx="1241">
                  <c:v>0.37624650773673218</c:v>
                </c:pt>
                <c:pt idx="1242">
                  <c:v>0.37058609350025268</c:v>
                </c:pt>
                <c:pt idx="1243">
                  <c:v>0.3604786461417625</c:v>
                </c:pt>
                <c:pt idx="1244">
                  <c:v>0.34603545502956845</c:v>
                </c:pt>
                <c:pt idx="1245">
                  <c:v>0.32744983845703168</c:v>
                </c:pt>
                <c:pt idx="1246">
                  <c:v>0.30493482382300696</c:v>
                </c:pt>
                <c:pt idx="1247">
                  <c:v>0.33506059130309573</c:v>
                </c:pt>
                <c:pt idx="1248">
                  <c:v>0.36115563168755743</c:v>
                </c:pt>
                <c:pt idx="1249">
                  <c:v>0.38292680449175837</c:v>
                </c:pt>
                <c:pt idx="1250">
                  <c:v>0.34218285564207185</c:v>
                </c:pt>
                <c:pt idx="1251">
                  <c:v>0.29733271252467203</c:v>
                </c:pt>
                <c:pt idx="1252">
                  <c:v>0.24891457685697477</c:v>
                </c:pt>
                <c:pt idx="1253">
                  <c:v>0.19750946626700222</c:v>
                </c:pt>
                <c:pt idx="1254">
                  <c:v>0.17614424208181817</c:v>
                </c:pt>
                <c:pt idx="1255">
                  <c:v>0.15266528699165499</c:v>
                </c:pt>
                <c:pt idx="1256">
                  <c:v>0.12735434845759097</c:v>
                </c:pt>
                <c:pt idx="1257">
                  <c:v>6.3535157742035234E-2</c:v>
                </c:pt>
                <c:pt idx="1258">
                  <c:v>-1.0464548664233797E-3</c:v>
                </c:pt>
                <c:pt idx="1259">
                  <c:v>-6.5605510016484597E-2</c:v>
                </c:pt>
                <c:pt idx="1260">
                  <c:v>-0.12938729904635313</c:v>
                </c:pt>
                <c:pt idx="1261">
                  <c:v>-0.19160644048765976</c:v>
                </c:pt>
                <c:pt idx="1262">
                  <c:v>-0.24626630464311647</c:v>
                </c:pt>
                <c:pt idx="1263">
                  <c:v>-0.29797097314284476</c:v>
                </c:pt>
                <c:pt idx="1264">
                  <c:v>-0.34609998996487645</c:v>
                </c:pt>
                <c:pt idx="1265">
                  <c:v>-0.39006580690732762</c:v>
                </c:pt>
                <c:pt idx="1266">
                  <c:v>-0.42936083416687981</c:v>
                </c:pt>
                <c:pt idx="1267">
                  <c:v>-0.46350353141644085</c:v>
                </c:pt>
                <c:pt idx="1268">
                  <c:v>-0.49208418628899142</c:v>
                </c:pt>
                <c:pt idx="1269">
                  <c:v>-0.51475983092608235</c:v>
                </c:pt>
                <c:pt idx="1270">
                  <c:v>-0.438208357592066</c:v>
                </c:pt>
                <c:pt idx="1271">
                  <c:v>-0.35639838396693718</c:v>
                </c:pt>
                <c:pt idx="1272">
                  <c:v>-0.36753162973419962</c:v>
                </c:pt>
                <c:pt idx="1273">
                  <c:v>-0.37426449594466382</c:v>
                </c:pt>
                <c:pt idx="1274">
                  <c:v>-0.37650618820378801</c:v>
                </c:pt>
                <c:pt idx="1275">
                  <c:v>-0.34832980620446219</c:v>
                </c:pt>
                <c:pt idx="1276">
                  <c:v>-0.31598346653068532</c:v>
                </c:pt>
                <c:pt idx="1277">
                  <c:v>-0.27984532525854139</c:v>
                </c:pt>
                <c:pt idx="1278">
                  <c:v>-0.24033904008329257</c:v>
                </c:pt>
                <c:pt idx="1279">
                  <c:v>-0.19795868642705042</c:v>
                </c:pt>
                <c:pt idx="1280">
                  <c:v>-0.19554282853368299</c:v>
                </c:pt>
                <c:pt idx="1281">
                  <c:v>-0.19079045669790401</c:v>
                </c:pt>
                <c:pt idx="1282">
                  <c:v>-0.18373859938175485</c:v>
                </c:pt>
                <c:pt idx="1283">
                  <c:v>-0.17449187887302831</c:v>
                </c:pt>
                <c:pt idx="1284">
                  <c:v>-0.16315125581781881</c:v>
                </c:pt>
                <c:pt idx="1285">
                  <c:v>-0.14984281769279759</c:v>
                </c:pt>
                <c:pt idx="1286">
                  <c:v>-0.13474626575546247</c:v>
                </c:pt>
                <c:pt idx="1287">
                  <c:v>-0.11802275862906296</c:v>
                </c:pt>
                <c:pt idx="1288">
                  <c:v>-8.0129783991129792E-3</c:v>
                </c:pt>
                <c:pt idx="1289">
                  <c:v>0.10209295757162423</c:v>
                </c:pt>
                <c:pt idx="1290">
                  <c:v>0.21097377805150314</c:v>
                </c:pt>
                <c:pt idx="1291">
                  <c:v>0.31731291319476473</c:v>
                </c:pt>
                <c:pt idx="1292">
                  <c:v>0.33401429337969429</c:v>
                </c:pt>
                <c:pt idx="1293">
                  <c:v>0.34670750204405204</c:v>
                </c:pt>
                <c:pt idx="1294">
                  <c:v>0.35524022068389532</c:v>
                </c:pt>
                <c:pt idx="1295">
                  <c:v>0.35950005667551799</c:v>
                </c:pt>
                <c:pt idx="1296">
                  <c:v>0.35945589198704914</c:v>
                </c:pt>
                <c:pt idx="1297">
                  <c:v>0.35509825659473054</c:v>
                </c:pt>
                <c:pt idx="1298">
                  <c:v>0.42921944212327268</c:v>
                </c:pt>
                <c:pt idx="1299">
                  <c:v>0.49817999434634186</c:v>
                </c:pt>
                <c:pt idx="1300">
                  <c:v>0.56117238663724689</c:v>
                </c:pt>
                <c:pt idx="1301">
                  <c:v>0.53865071028851796</c:v>
                </c:pt>
                <c:pt idx="1302">
                  <c:v>0.50966522541631865</c:v>
                </c:pt>
                <c:pt idx="1303">
                  <c:v>0.47456375783911336</c:v>
                </c:pt>
                <c:pt idx="1304">
                  <c:v>0.43376752516784911</c:v>
                </c:pt>
                <c:pt idx="1305">
                  <c:v>0.38776608219457787</c:v>
                </c:pt>
                <c:pt idx="1306">
                  <c:v>0.33711144623496409</c:v>
                </c:pt>
                <c:pt idx="1307">
                  <c:v>0.28241147292052282</c:v>
                </c:pt>
                <c:pt idx="1308">
                  <c:v>0.22432256193104672</c:v>
                </c:pt>
                <c:pt idx="1309">
                  <c:v>0.16354178019838778</c:v>
                </c:pt>
                <c:pt idx="1310">
                  <c:v>0.10079849710335807</c:v>
                </c:pt>
                <c:pt idx="1311">
                  <c:v>3.6845632043081694E-2</c:v>
                </c:pt>
                <c:pt idx="1312">
                  <c:v>-2.7549380601707679E-2</c:v>
                </c:pt>
                <c:pt idx="1313">
                  <c:v>-5.0603800679279852E-2</c:v>
                </c:pt>
                <c:pt idx="1314">
                  <c:v>-7.3050975148699154E-2</c:v>
                </c:pt>
                <c:pt idx="1315">
                  <c:v>-9.4621537916333029E-2</c:v>
                </c:pt>
                <c:pt idx="1316">
                  <c:v>-0.11504664222897133</c:v>
                </c:pt>
                <c:pt idx="1317">
                  <c:v>-0.14474118683486212</c:v>
                </c:pt>
                <c:pt idx="1318">
                  <c:v>-0.17268883719873507</c:v>
                </c:pt>
                <c:pt idx="1319">
                  <c:v>-0.19857422151622112</c:v>
                </c:pt>
                <c:pt idx="1320">
                  <c:v>-0.2220767151755185</c:v>
                </c:pt>
                <c:pt idx="1321">
                  <c:v>-0.24862428825270491</c:v>
                </c:pt>
                <c:pt idx="1322">
                  <c:v>-0.27218836987085837</c:v>
                </c:pt>
                <c:pt idx="1323">
                  <c:v>-0.29248619105057094</c:v>
                </c:pt>
                <c:pt idx="1324">
                  <c:v>-0.30927417793765766</c:v>
                </c:pt>
                <c:pt idx="1325">
                  <c:v>-0.32235087468950735</c:v>
                </c:pt>
                <c:pt idx="1326">
                  <c:v>-0.33155936094507887</c:v>
                </c:pt>
                <c:pt idx="1327">
                  <c:v>-0.34386913486930593</c:v>
                </c:pt>
                <c:pt idx="1328">
                  <c:v>-0.35205247917511129</c:v>
                </c:pt>
                <c:pt idx="1329">
                  <c:v>-0.3560111937308012</c:v>
                </c:pt>
                <c:pt idx="1330">
                  <c:v>-0.35569777396172658</c:v>
                </c:pt>
                <c:pt idx="1331">
                  <c:v>-0.35111598090512008</c:v>
                </c:pt>
                <c:pt idx="1332">
                  <c:v>-0.32531079607764096</c:v>
                </c:pt>
                <c:pt idx="1333">
                  <c:v>-0.29559188169723039</c:v>
                </c:pt>
                <c:pt idx="1334">
                  <c:v>-0.26232586473646718</c:v>
                </c:pt>
                <c:pt idx="1335">
                  <c:v>-0.22591193739885435</c:v>
                </c:pt>
                <c:pt idx="1336">
                  <c:v>-0.18678706681245258</c:v>
                </c:pt>
                <c:pt idx="1337">
                  <c:v>-0.17187075142431443</c:v>
                </c:pt>
                <c:pt idx="1338">
                  <c:v>-0.15489198701907181</c:v>
                </c:pt>
                <c:pt idx="1339">
                  <c:v>-0.13605451876960631</c:v>
                </c:pt>
                <c:pt idx="1340">
                  <c:v>-0.11558439629490418</c:v>
                </c:pt>
                <c:pt idx="1341">
                  <c:v>-9.3727261064664072E-2</c:v>
                </c:pt>
                <c:pt idx="1342">
                  <c:v>-6.237539870164633E-2</c:v>
                </c:pt>
                <c:pt idx="1343">
                  <c:v>-3.0285031554210265E-2</c:v>
                </c:pt>
                <c:pt idx="1344">
                  <c:v>2.1787559718758429E-3</c:v>
                </c:pt>
                <c:pt idx="1345">
                  <c:v>3.4616398426301181E-2</c:v>
                </c:pt>
                <c:pt idx="1346">
                  <c:v>6.662864409961089E-2</c:v>
                </c:pt>
                <c:pt idx="1347">
                  <c:v>0.11566134604372533</c:v>
                </c:pt>
                <c:pt idx="1348">
                  <c:v>0.16330611183531032</c:v>
                </c:pt>
                <c:pt idx="1349">
                  <c:v>0.20899120428487497</c:v>
                </c:pt>
                <c:pt idx="1350">
                  <c:v>0.25216840228302512</c:v>
                </c:pt>
                <c:pt idx="1351">
                  <c:v>0.27010957945377589</c:v>
                </c:pt>
                <c:pt idx="1352">
                  <c:v>0.28481944167108114</c:v>
                </c:pt>
                <c:pt idx="1353">
                  <c:v>0.29611147058833126</c:v>
                </c:pt>
                <c:pt idx="1354">
                  <c:v>0.30384016185852192</c:v>
                </c:pt>
                <c:pt idx="1355">
                  <c:v>0.30793277118641715</c:v>
                </c:pt>
                <c:pt idx="1356">
                  <c:v>0.30832018726006588</c:v>
                </c:pt>
                <c:pt idx="1357">
                  <c:v>0.32040776108660085</c:v>
                </c:pt>
                <c:pt idx="1358">
                  <c:v>0.32865044178009317</c:v>
                </c:pt>
                <c:pt idx="1359">
                  <c:v>0.33293931717223113</c:v>
                </c:pt>
                <c:pt idx="1360">
                  <c:v>0.31947292075828848</c:v>
                </c:pt>
                <c:pt idx="1361">
                  <c:v>0.30216284929525294</c:v>
                </c:pt>
                <c:pt idx="1362">
                  <c:v>0.28122682364067808</c:v>
                </c:pt>
                <c:pt idx="1363">
                  <c:v>0.26943607610241394</c:v>
                </c:pt>
                <c:pt idx="1364">
                  <c:v>0.25441209565091588</c:v>
                </c:pt>
                <c:pt idx="1365">
                  <c:v>0.23633517005160803</c:v>
                </c:pt>
                <c:pt idx="1366">
                  <c:v>0.20265222241168607</c:v>
                </c:pt>
                <c:pt idx="1367">
                  <c:v>0.16654744810282085</c:v>
                </c:pt>
                <c:pt idx="1368">
                  <c:v>0.12844410441672538</c:v>
                </c:pt>
                <c:pt idx="1369">
                  <c:v>8.8789431477625039E-2</c:v>
                </c:pt>
                <c:pt idx="1370">
                  <c:v>4.8079285360793068E-2</c:v>
                </c:pt>
                <c:pt idx="1371">
                  <c:v>2.2882187819632516E-2</c:v>
                </c:pt>
                <c:pt idx="1372">
                  <c:v>-2.5894959753645095E-3</c:v>
                </c:pt>
                <c:pt idx="1373">
                  <c:v>-2.8020105818655616E-2</c:v>
                </c:pt>
                <c:pt idx="1374">
                  <c:v>-5.3124474392125719E-2</c:v>
                </c:pt>
                <c:pt idx="1375">
                  <c:v>-7.759134927288612E-2</c:v>
                </c:pt>
                <c:pt idx="1376">
                  <c:v>-0.1011271279623767</c:v>
                </c:pt>
                <c:pt idx="1377">
                  <c:v>-0.13987938111631373</c:v>
                </c:pt>
                <c:pt idx="1378">
                  <c:v>-0.17694308169685688</c:v>
                </c:pt>
                <c:pt idx="1379">
                  <c:v>-0.21189346529703604</c:v>
                </c:pt>
                <c:pt idx="1380">
                  <c:v>-0.24280112731365697</c:v>
                </c:pt>
                <c:pt idx="1381">
                  <c:v>-0.27079517580251394</c:v>
                </c:pt>
                <c:pt idx="1382">
                  <c:v>-0.29553968218173909</c:v>
                </c:pt>
                <c:pt idx="1383">
                  <c:v>-0.31673771237477383</c:v>
                </c:pt>
                <c:pt idx="1384">
                  <c:v>-0.33413489001931762</c:v>
                </c:pt>
                <c:pt idx="1385">
                  <c:v>-0.33242244898363904</c:v>
                </c:pt>
                <c:pt idx="1386">
                  <c:v>-0.32671093856014283</c:v>
                </c:pt>
                <c:pt idx="1387">
                  <c:v>-0.31708889687392849</c:v>
                </c:pt>
                <c:pt idx="1388">
                  <c:v>-0.30366178842523239</c:v>
                </c:pt>
                <c:pt idx="1389">
                  <c:v>-0.28659073851542827</c:v>
                </c:pt>
                <c:pt idx="1390">
                  <c:v>-0.26077059974343419</c:v>
                </c:pt>
                <c:pt idx="1391">
                  <c:v>-0.23182121377451989</c:v>
                </c:pt>
                <c:pt idx="1392">
                  <c:v>-0.20008997324032565</c:v>
                </c:pt>
                <c:pt idx="1393">
                  <c:v>-0.19373765302724449</c:v>
                </c:pt>
                <c:pt idx="1394">
                  <c:v>-0.18506048097782432</c:v>
                </c:pt>
                <c:pt idx="1395">
                  <c:v>-0.17416258315667815</c:v>
                </c:pt>
                <c:pt idx="1396">
                  <c:v>-0.16116473433765327</c:v>
                </c:pt>
                <c:pt idx="1397">
                  <c:v>-0.1462429087065707</c:v>
                </c:pt>
                <c:pt idx="1398">
                  <c:v>-0.10664616817101211</c:v>
                </c:pt>
                <c:pt idx="1399">
                  <c:v>-6.5759673617400385E-2</c:v>
                </c:pt>
                <c:pt idx="1400">
                  <c:v>-2.4094062980380637E-2</c:v>
                </c:pt>
                <c:pt idx="1401">
                  <c:v>1.7870676412403211E-2</c:v>
                </c:pt>
                <c:pt idx="1402">
                  <c:v>5.9610967688238217E-2</c:v>
                </c:pt>
                <c:pt idx="1403">
                  <c:v>0.10063592735181617</c:v>
                </c:pt>
                <c:pt idx="1404">
                  <c:v>0.1404632558871699</c:v>
                </c:pt>
                <c:pt idx="1405">
                  <c:v>0.15457502535187911</c:v>
                </c:pt>
                <c:pt idx="1406">
                  <c:v>0.16683189451236358</c:v>
                </c:pt>
                <c:pt idx="1407">
                  <c:v>0.17708678093869859</c:v>
                </c:pt>
                <c:pt idx="1408">
                  <c:v>0.18521662599377134</c:v>
                </c:pt>
                <c:pt idx="1409">
                  <c:v>0.19112387153691865</c:v>
                </c:pt>
                <c:pt idx="1410">
                  <c:v>0.22322763062162468</c:v>
                </c:pt>
                <c:pt idx="1411">
                  <c:v>0.25265265813887405</c:v>
                </c:pt>
                <c:pt idx="1412">
                  <c:v>0.27904585375845486</c:v>
                </c:pt>
                <c:pt idx="1413">
                  <c:v>0.3020904991329334</c:v>
                </c:pt>
                <c:pt idx="1414">
                  <c:v>0.32151005851781089</c:v>
                </c:pt>
                <c:pt idx="1415">
                  <c:v>0.31524149720047778</c:v>
                </c:pt>
                <c:pt idx="1416">
                  <c:v>0.30519003791673688</c:v>
                </c:pt>
                <c:pt idx="1417">
                  <c:v>0.29147629817800541</c:v>
                </c:pt>
                <c:pt idx="1418">
                  <c:v>0.27426484286113045</c:v>
                </c:pt>
                <c:pt idx="1419">
                  <c:v>0.25988220942992424</c:v>
                </c:pt>
                <c:pt idx="1420">
                  <c:v>0.24238098948555722</c:v>
                </c:pt>
                <c:pt idx="1421">
                  <c:v>0.22197119766736081</c:v>
                </c:pt>
                <c:pt idx="1422">
                  <c:v>0.1988977514771591</c:v>
                </c:pt>
                <c:pt idx="1423">
                  <c:v>0.1704575322692358</c:v>
                </c:pt>
                <c:pt idx="1424">
                  <c:v>0.13997182267407515</c:v>
                </c:pt>
                <c:pt idx="1425">
                  <c:v>0.11966645120682758</c:v>
                </c:pt>
                <c:pt idx="1426">
                  <c:v>9.7935082325098066E-2</c:v>
                </c:pt>
                <c:pt idx="1427">
                  <c:v>7.5028492455468748E-2</c:v>
                </c:pt>
                <c:pt idx="1428">
                  <c:v>3.4771560676372618E-2</c:v>
                </c:pt>
                <c:pt idx="1429">
                  <c:v>-5.8926298308401683E-3</c:v>
                </c:pt>
                <c:pt idx="1430">
                  <c:v>-4.6496108780082417E-2</c:v>
                </c:pt>
                <c:pt idx="1431">
                  <c:v>-8.6531634423965109E-2</c:v>
                </c:pt>
                <c:pt idx="1432">
                  <c:v>-0.12553878045475736</c:v>
                </c:pt>
                <c:pt idx="1433">
                  <c:v>-0.13935946112009343</c:v>
                </c:pt>
                <c:pt idx="1434">
                  <c:v>-0.15151782825198684</c:v>
                </c:pt>
                <c:pt idx="1435">
                  <c:v>-0.16184798144486298</c:v>
                </c:pt>
                <c:pt idx="1436">
                  <c:v>-0.17024595886039329</c:v>
                </c:pt>
                <c:pt idx="1437">
                  <c:v>-0.17659098476960691</c:v>
                </c:pt>
                <c:pt idx="1438">
                  <c:v>-0.18082691886157734</c:v>
                </c:pt>
                <c:pt idx="1439">
                  <c:v>-0.20492292992721223</c:v>
                </c:pt>
                <c:pt idx="1440">
                  <c:v>-0.2265698658337166</c:v>
                </c:pt>
                <c:pt idx="1441">
                  <c:v>-0.24549796335022675</c:v>
                </c:pt>
                <c:pt idx="1442">
                  <c:v>-0.26148008530652023</c:v>
                </c:pt>
                <c:pt idx="1443">
                  <c:v>-0.2743244462391492</c:v>
                </c:pt>
                <c:pt idx="1444">
                  <c:v>-0.28386691381690216</c:v>
                </c:pt>
                <c:pt idx="1445">
                  <c:v>-0.29001297842885188</c:v>
                </c:pt>
                <c:pt idx="1446">
                  <c:v>-0.2837688872996515</c:v>
                </c:pt>
                <c:pt idx="1447">
                  <c:v>-0.27410956952286791</c:v>
                </c:pt>
                <c:pt idx="1448">
                  <c:v>-0.26116093691179887</c:v>
                </c:pt>
                <c:pt idx="1449">
                  <c:v>-0.24508837305778872</c:v>
                </c:pt>
                <c:pt idx="1450">
                  <c:v>-0.23287474872708303</c:v>
                </c:pt>
                <c:pt idx="1451">
                  <c:v>-0.21786662741165749</c:v>
                </c:pt>
                <c:pt idx="1452">
                  <c:v>-0.20024410656729322</c:v>
                </c:pt>
                <c:pt idx="1453">
                  <c:v>-0.18021865644411628</c:v>
                </c:pt>
                <c:pt idx="1454">
                  <c:v>-0.15803058244361695</c:v>
                </c:pt>
                <c:pt idx="1455">
                  <c:v>-0.12079614145378884</c:v>
                </c:pt>
                <c:pt idx="1456">
                  <c:v>-8.2112146766516653E-2</c:v>
                </c:pt>
                <c:pt idx="1457">
                  <c:v>-4.2442806318046478E-2</c:v>
                </c:pt>
                <c:pt idx="1458">
                  <c:v>3.7465847806240987E-2</c:v>
                </c:pt>
                <c:pt idx="1459">
                  <c:v>4.1904911756852466E-2</c:v>
                </c:pt>
                <c:pt idx="1460">
                  <c:v>7.3641116766382519E-2</c:v>
                </c:pt>
                <c:pt idx="1461">
                  <c:v>0.10450362837471829</c:v>
                </c:pt>
                <c:pt idx="1462">
                  <c:v>0.13411209644255362</c:v>
                </c:pt>
                <c:pt idx="1463">
                  <c:v>0.16210121935307997</c:v>
                </c:pt>
                <c:pt idx="1464">
                  <c:v>0.18815512763137004</c:v>
                </c:pt>
                <c:pt idx="1465">
                  <c:v>0.21195117437808503</c:v>
                </c:pt>
                <c:pt idx="1466">
                  <c:v>0.23319380703225398</c:v>
                </c:pt>
                <c:pt idx="1467">
                  <c:v>0.251648114002051</c:v>
                </c:pt>
                <c:pt idx="1468">
                  <c:v>0.26708264360380662</c:v>
                </c:pt>
                <c:pt idx="1469">
                  <c:v>0.27930218148232777</c:v>
                </c:pt>
                <c:pt idx="1470">
                  <c:v>0.28818009318305576</c:v>
                </c:pt>
                <c:pt idx="1471">
                  <c:v>0.29359984376558196</c:v>
                </c:pt>
                <c:pt idx="1472">
                  <c:v>0.29548639622293832</c:v>
                </c:pt>
                <c:pt idx="1473">
                  <c:v>0.29383711192561018</c:v>
                </c:pt>
                <c:pt idx="1474">
                  <c:v>0.28865178228517763</c:v>
                </c:pt>
                <c:pt idx="1475">
                  <c:v>0.28001263125731424</c:v>
                </c:pt>
                <c:pt idx="1476">
                  <c:v>0.2680133286543781</c:v>
                </c:pt>
                <c:pt idx="1477">
                  <c:v>0.25278786610757537</c:v>
                </c:pt>
                <c:pt idx="1478">
                  <c:v>0.23453894916748447</c:v>
                </c:pt>
                <c:pt idx="1479">
                  <c:v>0.21347556483738547</c:v>
                </c:pt>
                <c:pt idx="1480">
                  <c:v>0.18984047372923826</c:v>
                </c:pt>
                <c:pt idx="1481">
                  <c:v>0.16393729693633605</c:v>
                </c:pt>
                <c:pt idx="1482">
                  <c:v>0.13606687258020123</c:v>
                </c:pt>
                <c:pt idx="1483">
                  <c:v>0.10655364575310301</c:v>
                </c:pt>
                <c:pt idx="1484">
                  <c:v>7.5771775176973033E-2</c:v>
                </c:pt>
                <c:pt idx="1485">
                  <c:v>4.4080643298712731E-2</c:v>
                </c:pt>
                <c:pt idx="1486">
                  <c:v>1.1850543700871369E-2</c:v>
                </c:pt>
                <c:pt idx="1487">
                  <c:v>-2.0511762421381637E-2</c:v>
                </c:pt>
                <c:pt idx="1488">
                  <c:v>-5.2627927394577549E-2</c:v>
                </c:pt>
                <c:pt idx="1489">
                  <c:v>-8.4122557239038165E-2</c:v>
                </c:pt>
                <c:pt idx="1490">
                  <c:v>-0.11459771639663095</c:v>
                </c:pt>
                <c:pt idx="1491">
                  <c:v>-0.14369770295746429</c:v>
                </c:pt>
                <c:pt idx="1492">
                  <c:v>-0.17108331708280688</c:v>
                </c:pt>
                <c:pt idx="1493">
                  <c:v>-0.19640593140315965</c:v>
                </c:pt>
                <c:pt idx="1494">
                  <c:v>-0.21937167454667403</c:v>
                </c:pt>
                <c:pt idx="1495">
                  <c:v>-0.23971495759562542</c:v>
                </c:pt>
                <c:pt idx="1496">
                  <c:v>-0.25717166115343021</c:v>
                </c:pt>
                <c:pt idx="1497">
                  <c:v>-0.27154230477739044</c:v>
                </c:pt>
                <c:pt idx="1498">
                  <c:v>-0.28266444074402997</c:v>
                </c:pt>
                <c:pt idx="1499">
                  <c:v>-0.29038460342173128</c:v>
                </c:pt>
                <c:pt idx="1500">
                  <c:v>-0.2946201508583759</c:v>
                </c:pt>
                <c:pt idx="1501">
                  <c:v>-0.2953302564847205</c:v>
                </c:pt>
                <c:pt idx="1502">
                  <c:v>-0.29248639903325152</c:v>
                </c:pt>
                <c:pt idx="1503">
                  <c:v>-0.28613270479337527</c:v>
                </c:pt>
                <c:pt idx="1504">
                  <c:v>-0.27635541809598735</c:v>
                </c:pt>
                <c:pt idx="1505">
                  <c:v>-0.26325186638144393</c:v>
                </c:pt>
                <c:pt idx="1506">
                  <c:v>-0.24698929227032423</c:v>
                </c:pt>
                <c:pt idx="1507">
                  <c:v>-0.22777284665196662</c:v>
                </c:pt>
                <c:pt idx="1508">
                  <c:v>-0.20581312687377276</c:v>
                </c:pt>
                <c:pt idx="1509">
                  <c:v>-0.18138364957310041</c:v>
                </c:pt>
                <c:pt idx="1510">
                  <c:v>-0.15478756847754799</c:v>
                </c:pt>
                <c:pt idx="1511">
                  <c:v>-0.12632403656027383</c:v>
                </c:pt>
                <c:pt idx="1512">
                  <c:v>-9.6344616204265723E-2</c:v>
                </c:pt>
                <c:pt idx="1513">
                  <c:v>-6.5219060453810832E-2</c:v>
                </c:pt>
                <c:pt idx="1514">
                  <c:v>-3.3300875977909969E-2</c:v>
                </c:pt>
                <c:pt idx="1515">
                  <c:v>-9.8308099027381423E-4</c:v>
                </c:pt>
                <c:pt idx="1516">
                  <c:v>3.1336510969245293E-2</c:v>
                </c:pt>
                <c:pt idx="1517">
                  <c:v>6.3290064797133713E-2</c:v>
                </c:pt>
                <c:pt idx="1518">
                  <c:v>9.4484137847456254E-2</c:v>
                </c:pt>
                <c:pt idx="1519">
                  <c:v>0.12453440124361161</c:v>
                </c:pt>
                <c:pt idx="1520">
                  <c:v>0.15310025182483852</c:v>
                </c:pt>
                <c:pt idx="1521">
                  <c:v>0.17982889938417382</c:v>
                </c:pt>
                <c:pt idx="1522">
                  <c:v>0.20438960015089352</c:v>
                </c:pt>
                <c:pt idx="1523">
                  <c:v>0.22650762571580893</c:v>
                </c:pt>
                <c:pt idx="1524">
                  <c:v>0.24590755977212367</c:v>
                </c:pt>
                <c:pt idx="1525">
                  <c:v>0.2623466031111783</c:v>
                </c:pt>
                <c:pt idx="1526">
                  <c:v>0.27564748721291016</c:v>
                </c:pt>
                <c:pt idx="1527">
                  <c:v>0.28564060146806824</c:v>
                </c:pt>
                <c:pt idx="1528">
                  <c:v>0.29219602850561605</c:v>
                </c:pt>
                <c:pt idx="1529">
                  <c:v>0.29525510320110249</c:v>
                </c:pt>
                <c:pt idx="1530">
                  <c:v>0.29477111665816758</c:v>
                </c:pt>
                <c:pt idx="1531">
                  <c:v>0.29073987671534518</c:v>
                </c:pt>
                <c:pt idx="1532">
                  <c:v>0.28322975825192681</c:v>
                </c:pt>
                <c:pt idx="1533">
                  <c:v>0.27231088268949832</c:v>
                </c:pt>
                <c:pt idx="1534">
                  <c:v>0.25813427653478133</c:v>
                </c:pt>
                <c:pt idx="1535">
                  <c:v>0.2408600590616595</c:v>
                </c:pt>
                <c:pt idx="1536">
                  <c:v>0.22068552087978935</c:v>
                </c:pt>
                <c:pt idx="1537">
                  <c:v>0.19787275644736263</c:v>
                </c:pt>
                <c:pt idx="1538">
                  <c:v>0.17268551893757011</c:v>
                </c:pt>
                <c:pt idx="1539">
                  <c:v>0.14541605520052903</c:v>
                </c:pt>
                <c:pt idx="1540">
                  <c:v>0.11641159880107693</c:v>
                </c:pt>
                <c:pt idx="1541">
                  <c:v>8.601020321601234E-2</c:v>
                </c:pt>
                <c:pt idx="1542">
                  <c:v>5.4566685192358015E-2</c:v>
                </c:pt>
                <c:pt idx="1543">
                  <c:v>2.2478366946395101E-2</c:v>
                </c:pt>
                <c:pt idx="1544">
                  <c:v>-9.879691702925587E-3</c:v>
                </c:pt>
                <c:pt idx="1545">
                  <c:v>-4.2129194051811848E-2</c:v>
                </c:pt>
                <c:pt idx="1546">
                  <c:v>-7.3863146072073241E-2</c:v>
                </c:pt>
                <c:pt idx="1547">
                  <c:v>-0.10471074033947336</c:v>
                </c:pt>
                <c:pt idx="1548">
                  <c:v>-0.1343118057227973</c:v>
                </c:pt>
                <c:pt idx="1549">
                  <c:v>-0.16229112943745266</c:v>
                </c:pt>
                <c:pt idx="1550">
                  <c:v>-0.18832295959885165</c:v>
                </c:pt>
                <c:pt idx="1551">
                  <c:v>-0.21210491424507227</c:v>
                </c:pt>
                <c:pt idx="1552">
                  <c:v>-0.23333160992034321</c:v>
                </c:pt>
                <c:pt idx="1553">
                  <c:v>-0.25175832627657035</c:v>
                </c:pt>
                <c:pt idx="1554">
                  <c:v>-0.26717394271748818</c:v>
                </c:pt>
                <c:pt idx="1555">
                  <c:v>-0.27937347184578409</c:v>
                </c:pt>
                <c:pt idx="1556">
                  <c:v>-0.28822051931194115</c:v>
                </c:pt>
                <c:pt idx="1557">
                  <c:v>-0.2936189205463447</c:v>
                </c:pt>
                <c:pt idx="1558">
                  <c:v>-0.29548389473419995</c:v>
                </c:pt>
                <c:pt idx="1559">
                  <c:v>-0.29374306218524476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B1E-42B6-984A-1B4C62771F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3324952"/>
        <c:axId val="513327576"/>
      </c:scatterChart>
      <c:valAx>
        <c:axId val="5133249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GH"/>
          </a:p>
        </c:txPr>
        <c:crossAx val="513327576"/>
        <c:crosses val="autoZero"/>
        <c:crossBetween val="midCat"/>
      </c:valAx>
      <c:valAx>
        <c:axId val="513327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GH"/>
          </a:p>
        </c:txPr>
        <c:crossAx val="5133249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GH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2238374</xdr:colOff>
      <xdr:row>13</xdr:row>
      <xdr:rowOff>152400</xdr:rowOff>
    </xdr:from>
    <xdr:to>
      <xdr:col>16</xdr:col>
      <xdr:colOff>342900</xdr:colOff>
      <xdr:row>24</xdr:row>
      <xdr:rowOff>95250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38</xdr:col>
      <xdr:colOff>85725</xdr:colOff>
      <xdr:row>4</xdr:row>
      <xdr:rowOff>33337</xdr:rowOff>
    </xdr:from>
    <xdr:to>
      <xdr:col>45</xdr:col>
      <xdr:colOff>390525</xdr:colOff>
      <xdr:row>18</xdr:row>
      <xdr:rowOff>109537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</xdr:colOff>
          <xdr:row>3</xdr:row>
          <xdr:rowOff>85725</xdr:rowOff>
        </xdr:from>
        <xdr:to>
          <xdr:col>19</xdr:col>
          <xdr:colOff>200025</xdr:colOff>
          <xdr:row>5</xdr:row>
          <xdr:rowOff>152400</xdr:rowOff>
        </xdr:to>
        <xdr:sp macro="" textlink="">
          <xdr:nvSpPr>
            <xdr:cNvPr id="1030" name="ComboBox1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23</xdr:col>
      <xdr:colOff>9525</xdr:colOff>
      <xdr:row>2</xdr:row>
      <xdr:rowOff>9525</xdr:rowOff>
    </xdr:from>
    <xdr:to>
      <xdr:col>30</xdr:col>
      <xdr:colOff>609599</xdr:colOff>
      <xdr:row>18</xdr:row>
      <xdr:rowOff>19049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40</xdr:col>
      <xdr:colOff>590550</xdr:colOff>
      <xdr:row>0</xdr:row>
      <xdr:rowOff>185737</xdr:rowOff>
    </xdr:from>
    <xdr:to>
      <xdr:col>48</xdr:col>
      <xdr:colOff>285750</xdr:colOff>
      <xdr:row>15</xdr:row>
      <xdr:rowOff>71437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4</xdr:row>
      <xdr:rowOff>4762</xdr:rowOff>
    </xdr:from>
    <xdr:to>
      <xdr:col>28</xdr:col>
      <xdr:colOff>0</xdr:colOff>
      <xdr:row>19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2DC8A1-1499-43DF-96E8-F3E33BE1245B}">
  <sheetPr codeName="Sheet1"/>
  <dimension ref="A1:AE83"/>
  <sheetViews>
    <sheetView tabSelected="1" zoomScaleNormal="100" workbookViewId="0">
      <selection activeCell="J6" sqref="J6"/>
    </sheetView>
  </sheetViews>
  <sheetFormatPr defaultRowHeight="15" x14ac:dyDescent="0.25"/>
  <cols>
    <col min="3" max="3" width="12" customWidth="1"/>
    <col min="4" max="4" width="14.42578125" customWidth="1"/>
    <col min="5" max="5" width="14.28515625" customWidth="1"/>
    <col min="6" max="6" width="13.5703125" customWidth="1"/>
    <col min="7" max="7" width="15" customWidth="1"/>
    <col min="8" max="8" width="29.42578125" customWidth="1"/>
    <col min="11" max="11" width="34" customWidth="1"/>
    <col min="12" max="12" width="21.28515625" customWidth="1"/>
    <col min="14" max="14" width="21.140625" customWidth="1"/>
    <col min="17" max="17" width="13.42578125" customWidth="1"/>
    <col min="27" max="27" width="14.28515625" customWidth="1"/>
  </cols>
  <sheetData>
    <row r="1" spans="1:31" ht="16.5" thickBot="1" x14ac:dyDescent="0.3">
      <c r="A1" s="11" t="s">
        <v>15</v>
      </c>
      <c r="B1" s="2" t="s">
        <v>6</v>
      </c>
      <c r="C1" s="2" t="s">
        <v>19</v>
      </c>
      <c r="D1" s="2" t="s">
        <v>52</v>
      </c>
      <c r="E1" s="2" t="s">
        <v>59</v>
      </c>
      <c r="F1" s="2" t="s">
        <v>60</v>
      </c>
      <c r="G1" s="20" t="str">
        <f t="shared" ref="G1:G32" si="0">HLOOKUP($AA$2,$D$1:$F$83,ROW(),0)</f>
        <v>Velocity</v>
      </c>
      <c r="L1" s="22" t="s">
        <v>61</v>
      </c>
      <c r="M1" s="22"/>
      <c r="N1" s="22"/>
      <c r="AA1" s="22" t="s">
        <v>62</v>
      </c>
      <c r="AB1" s="22"/>
    </row>
    <row r="2" spans="1:31" x14ac:dyDescent="0.25">
      <c r="A2" s="12" t="s">
        <v>17</v>
      </c>
      <c r="B2" s="2">
        <f>-B4</f>
        <v>-0.1</v>
      </c>
      <c r="C2" s="2"/>
      <c r="D2" s="2">
        <f>L11</f>
        <v>2.2500000000000007E-3</v>
      </c>
      <c r="E2" s="2"/>
      <c r="F2" s="2"/>
      <c r="G2" s="2">
        <f t="shared" si="0"/>
        <v>0</v>
      </c>
      <c r="K2" s="3" t="s">
        <v>31</v>
      </c>
      <c r="L2" s="4">
        <v>45</v>
      </c>
      <c r="M2" s="4"/>
      <c r="N2" s="19" t="s">
        <v>57</v>
      </c>
      <c r="O2" s="19"/>
      <c r="P2" s="4"/>
      <c r="Q2" s="4"/>
      <c r="R2" s="4"/>
      <c r="S2" s="4"/>
      <c r="T2" s="5"/>
      <c r="X2" s="3"/>
      <c r="Y2" s="4"/>
      <c r="Z2" s="4"/>
      <c r="AA2" s="4" t="s">
        <v>59</v>
      </c>
      <c r="AB2" s="4"/>
      <c r="AC2" s="4"/>
      <c r="AD2" s="4"/>
      <c r="AE2" s="5"/>
    </row>
    <row r="3" spans="1:31" x14ac:dyDescent="0.25">
      <c r="A3" s="13" t="s">
        <v>16</v>
      </c>
      <c r="B3" s="2">
        <v>0</v>
      </c>
      <c r="C3" s="2">
        <f>IF($N$19="constant",$L$2,IF(B3&gt;$L$3,0,$L$2-($L$4*B3)))</f>
        <v>45</v>
      </c>
      <c r="D3" s="2">
        <f>L9</f>
        <v>0</v>
      </c>
      <c r="E3" s="2">
        <f>(D4-D2)/(2*$B$4)</f>
        <v>-2.1684043449710089E-18</v>
      </c>
      <c r="F3" s="2">
        <f>(D2+D4-2*D3)/($B$4^2)</f>
        <v>0.44999999999999996</v>
      </c>
      <c r="G3" s="2">
        <f t="shared" si="0"/>
        <v>-2.1684043449710089E-18</v>
      </c>
      <c r="K3" s="6" t="s">
        <v>32</v>
      </c>
      <c r="L3" s="1">
        <v>0.2</v>
      </c>
      <c r="M3" s="1"/>
      <c r="N3" s="16"/>
      <c r="O3" s="16"/>
      <c r="P3" s="1"/>
      <c r="Q3" s="1"/>
      <c r="R3" s="1"/>
      <c r="S3" s="1"/>
      <c r="T3" s="7"/>
      <c r="X3" s="6"/>
      <c r="Y3" s="1"/>
      <c r="Z3" s="1"/>
      <c r="AA3" s="1"/>
      <c r="AB3" s="1"/>
      <c r="AC3" s="1"/>
      <c r="AD3" s="1"/>
      <c r="AE3" s="7"/>
    </row>
    <row r="4" spans="1:31" ht="15" customHeight="1" x14ac:dyDescent="0.25">
      <c r="A4" s="14" t="s">
        <v>7</v>
      </c>
      <c r="B4" s="2">
        <v>0.1</v>
      </c>
      <c r="C4" s="2">
        <f t="shared" ref="C3:C34" si="1">IF($N$19="constant",$L$2,IF(B4&gt;$L$3,0,$L$2-($L$4*B4)))</f>
        <v>22.5</v>
      </c>
      <c r="D4" s="2">
        <f t="shared" ref="D4:D35" si="2">(C3-($O$10*D3)-($O$11*D2))/$O$9</f>
        <v>2.2500000000000003E-3</v>
      </c>
      <c r="E4" s="2">
        <f>(D5-D3)/(2*$B$4)</f>
        <v>2.7000000000000003E-2</v>
      </c>
      <c r="F4" s="2">
        <f>(D3+D5-2*D4)/($B$4^2)</f>
        <v>9.0000000000000038E-2</v>
      </c>
      <c r="G4" s="2">
        <f t="shared" si="0"/>
        <v>2.7000000000000003E-2</v>
      </c>
      <c r="K4" s="6" t="s">
        <v>33</v>
      </c>
      <c r="L4" s="1">
        <f>IF(N19="Constant",0,L2/L3)</f>
        <v>225</v>
      </c>
      <c r="M4" s="1"/>
      <c r="N4" s="16"/>
      <c r="O4" s="16"/>
      <c r="P4" s="1"/>
      <c r="Q4" s="21" t="s">
        <v>54</v>
      </c>
      <c r="R4" s="1"/>
      <c r="S4" s="1"/>
      <c r="T4" s="7"/>
      <c r="X4" s="6"/>
      <c r="Y4" s="1"/>
      <c r="Z4" s="1"/>
      <c r="AA4" s="1"/>
      <c r="AB4" s="1"/>
      <c r="AC4" s="1"/>
      <c r="AD4" s="1"/>
      <c r="AE4" s="7"/>
    </row>
    <row r="5" spans="1:31" ht="15" customHeight="1" x14ac:dyDescent="0.25">
      <c r="A5" s="2" t="s">
        <v>8</v>
      </c>
      <c r="B5" s="2">
        <v>0.2</v>
      </c>
      <c r="C5" s="2">
        <f t="shared" si="1"/>
        <v>0</v>
      </c>
      <c r="D5" s="2">
        <f t="shared" si="2"/>
        <v>5.4000000000000012E-3</v>
      </c>
      <c r="E5" s="2">
        <f>(D6-D4)/(2*$B$4)</f>
        <v>1.5300000000000001E-2</v>
      </c>
      <c r="F5" s="2">
        <f>(D4+D6-2*D5)/($B$4^2)</f>
        <v>-0.32400000000000007</v>
      </c>
      <c r="G5" s="2">
        <f t="shared" si="0"/>
        <v>1.5300000000000001E-2</v>
      </c>
      <c r="K5" s="6" t="s">
        <v>0</v>
      </c>
      <c r="L5" s="1">
        <v>100</v>
      </c>
      <c r="M5" s="1" t="s">
        <v>2</v>
      </c>
      <c r="N5" s="16"/>
      <c r="O5" s="16"/>
      <c r="P5" s="1"/>
      <c r="Q5" s="21"/>
      <c r="R5" s="1"/>
      <c r="S5" s="1"/>
      <c r="T5" s="7"/>
      <c r="X5" s="6"/>
      <c r="Y5" s="1"/>
      <c r="Z5" s="1"/>
      <c r="AA5" s="1"/>
      <c r="AB5" s="1"/>
      <c r="AC5" s="1"/>
      <c r="AD5" s="1"/>
      <c r="AE5" s="7"/>
    </row>
    <row r="6" spans="1:31" ht="15" customHeight="1" x14ac:dyDescent="0.25">
      <c r="A6" s="2" t="s">
        <v>9</v>
      </c>
      <c r="B6" s="2">
        <v>0.30000000000000004</v>
      </c>
      <c r="C6" s="2">
        <f t="shared" si="1"/>
        <v>0</v>
      </c>
      <c r="D6" s="2">
        <f t="shared" si="2"/>
        <v>5.3100000000000005E-3</v>
      </c>
      <c r="E6" s="2">
        <f>(D7-D5)/(2*$B$4)</f>
        <v>-1.6830000000000008E-2</v>
      </c>
      <c r="F6" s="2">
        <f>(D5+D7-2*D6)/($B$4^2)</f>
        <v>-0.31859999999999999</v>
      </c>
      <c r="G6" s="2">
        <f t="shared" si="0"/>
        <v>-1.6830000000000008E-2</v>
      </c>
      <c r="K6" s="6" t="s">
        <v>40</v>
      </c>
      <c r="L6" s="1">
        <v>2</v>
      </c>
      <c r="M6" s="1" t="s">
        <v>3</v>
      </c>
      <c r="N6" s="16"/>
      <c r="O6" s="16"/>
      <c r="P6" s="1"/>
      <c r="Q6" s="21"/>
      <c r="R6" s="1"/>
      <c r="S6" s="1"/>
      <c r="T6" s="7"/>
      <c r="X6" s="6"/>
      <c r="Y6" s="1"/>
      <c r="Z6" s="1"/>
      <c r="AA6" s="1"/>
      <c r="AB6" s="1"/>
      <c r="AC6" s="1"/>
      <c r="AD6" s="1"/>
      <c r="AE6" s="7"/>
    </row>
    <row r="7" spans="1:31" ht="15.75" x14ac:dyDescent="0.25">
      <c r="A7" s="2" t="s">
        <v>10</v>
      </c>
      <c r="B7" s="2">
        <v>0.4</v>
      </c>
      <c r="C7" s="2">
        <f t="shared" si="1"/>
        <v>0</v>
      </c>
      <c r="D7" s="2">
        <f t="shared" si="2"/>
        <v>2.0339999999999994E-3</v>
      </c>
      <c r="E7" s="2">
        <f t="shared" ref="E7:E9" si="3">(D8-D6)/(2*$B$4)</f>
        <v>-3.8862000000000008E-2</v>
      </c>
      <c r="F7" s="2">
        <f t="shared" ref="F7:F22" si="4">(D6+D8-2*D7)/($B$4^2)</f>
        <v>-0.12203999999999993</v>
      </c>
      <c r="G7" s="2">
        <f t="shared" si="0"/>
        <v>-3.8862000000000008E-2</v>
      </c>
      <c r="K7" s="6" t="s">
        <v>1</v>
      </c>
      <c r="L7" s="1">
        <v>1000</v>
      </c>
      <c r="M7" s="1" t="s">
        <v>4</v>
      </c>
      <c r="N7" s="16"/>
      <c r="O7" s="16"/>
      <c r="P7" s="1"/>
      <c r="Q7" s="17"/>
      <c r="R7" s="1"/>
      <c r="S7" s="1"/>
      <c r="T7" s="7"/>
      <c r="X7" s="6"/>
      <c r="Y7" s="1"/>
      <c r="Z7" s="1"/>
      <c r="AA7" s="1"/>
      <c r="AB7" s="1"/>
      <c r="AC7" s="1"/>
      <c r="AD7" s="1"/>
      <c r="AE7" s="7"/>
    </row>
    <row r="8" spans="1:31" x14ac:dyDescent="0.25">
      <c r="A8" s="2" t="s">
        <v>11</v>
      </c>
      <c r="B8" s="2">
        <v>0.5</v>
      </c>
      <c r="C8" s="2">
        <f t="shared" si="1"/>
        <v>0</v>
      </c>
      <c r="D8" s="2">
        <f t="shared" si="2"/>
        <v>-2.4624000000000013E-3</v>
      </c>
      <c r="E8" s="2">
        <f>(D9-D7)/(2*$B$4)</f>
        <v>-3.75768E-2</v>
      </c>
      <c r="F8" s="2">
        <f>(D7+D9-2*D8)/($B$4^2)</f>
        <v>0.14774400000000007</v>
      </c>
      <c r="G8" s="2">
        <f t="shared" si="0"/>
        <v>-3.75768E-2</v>
      </c>
      <c r="K8" s="6" t="s">
        <v>34</v>
      </c>
      <c r="L8" s="1">
        <f>(48*L7)/(L6^3)</f>
        <v>6000</v>
      </c>
      <c r="M8" s="1" t="s">
        <v>5</v>
      </c>
      <c r="N8" s="1" t="s">
        <v>41</v>
      </c>
      <c r="O8" s="1"/>
      <c r="P8" s="1"/>
      <c r="Q8" s="1"/>
      <c r="R8" s="1"/>
      <c r="S8" s="1"/>
      <c r="T8" s="7"/>
      <c r="X8" s="6"/>
      <c r="Y8" s="1"/>
      <c r="Z8" s="1"/>
      <c r="AA8" s="1"/>
      <c r="AB8" s="1"/>
      <c r="AC8" s="1"/>
      <c r="AD8" s="1"/>
      <c r="AE8" s="7"/>
    </row>
    <row r="9" spans="1:31" x14ac:dyDescent="0.25">
      <c r="A9" s="2" t="s">
        <v>12</v>
      </c>
      <c r="B9" s="2">
        <v>0.60000000000000009</v>
      </c>
      <c r="C9" s="2">
        <f t="shared" si="1"/>
        <v>0</v>
      </c>
      <c r="D9" s="2">
        <f t="shared" si="2"/>
        <v>-5.4813600000000011E-3</v>
      </c>
      <c r="E9" s="2">
        <f t="shared" si="3"/>
        <v>-1.3745519999999987E-2</v>
      </c>
      <c r="F9" s="2">
        <f t="shared" si="4"/>
        <v>0.32888160000000011</v>
      </c>
      <c r="G9" s="2">
        <f t="shared" si="0"/>
        <v>-1.3745519999999987E-2</v>
      </c>
      <c r="K9" s="6" t="s">
        <v>35</v>
      </c>
      <c r="L9" s="1">
        <v>0</v>
      </c>
      <c r="M9" s="1" t="s">
        <v>3</v>
      </c>
      <c r="N9" s="1" t="s">
        <v>44</v>
      </c>
      <c r="O9" s="1">
        <f>((1/B4^2)*L5)+(L13/(2*B4))</f>
        <v>9999.9999999999982</v>
      </c>
      <c r="P9" s="1"/>
      <c r="Q9" s="1"/>
      <c r="R9" s="1"/>
      <c r="S9" s="1"/>
      <c r="T9" s="7"/>
      <c r="X9" s="6"/>
      <c r="Y9" s="1"/>
      <c r="Z9" s="1"/>
      <c r="AA9" s="1"/>
      <c r="AB9" s="1"/>
      <c r="AC9" s="1"/>
      <c r="AD9" s="1"/>
      <c r="AE9" s="7"/>
    </row>
    <row r="10" spans="1:31" x14ac:dyDescent="0.25">
      <c r="A10" s="2" t="s">
        <v>13</v>
      </c>
      <c r="B10" s="2">
        <v>0.70000000000000007</v>
      </c>
      <c r="C10" s="2">
        <f t="shared" si="1"/>
        <v>0</v>
      </c>
      <c r="D10" s="2">
        <f t="shared" si="2"/>
        <v>-5.2115039999999987E-3</v>
      </c>
      <c r="E10" s="2">
        <f>(D11-D9)/(2*$B$4)</f>
        <v>1.8333072000000027E-2</v>
      </c>
      <c r="F10" s="2">
        <f t="shared" si="4"/>
        <v>0.31269024000000006</v>
      </c>
      <c r="G10" s="2">
        <f t="shared" si="0"/>
        <v>1.8333072000000027E-2</v>
      </c>
      <c r="K10" s="6" t="s">
        <v>36</v>
      </c>
      <c r="L10" s="1">
        <v>0</v>
      </c>
      <c r="M10" s="1" t="s">
        <v>3</v>
      </c>
      <c r="N10" s="1" t="s">
        <v>42</v>
      </c>
      <c r="O10" s="1">
        <f>L8-((2*L5)/(B4^2))</f>
        <v>-13999.999999999996</v>
      </c>
      <c r="P10" s="1"/>
      <c r="Q10" s="1"/>
      <c r="R10" s="1"/>
      <c r="S10" s="1"/>
      <c r="T10" s="7"/>
      <c r="X10" s="6"/>
      <c r="Y10" s="1"/>
      <c r="Z10" s="1"/>
      <c r="AA10" s="1"/>
      <c r="AB10" s="1"/>
      <c r="AC10" s="1"/>
      <c r="AD10" s="1"/>
      <c r="AE10" s="7"/>
    </row>
    <row r="11" spans="1:31" x14ac:dyDescent="0.25">
      <c r="A11" s="15" t="s">
        <v>14</v>
      </c>
      <c r="B11" s="2">
        <v>0.8</v>
      </c>
      <c r="C11" s="2">
        <f t="shared" si="1"/>
        <v>0</v>
      </c>
      <c r="D11" s="2">
        <f t="shared" si="2"/>
        <v>-1.8147455999999959E-3</v>
      </c>
      <c r="E11" s="2">
        <f>(D12-D10)/(2*$B$4)</f>
        <v>3.9411820800000018E-2</v>
      </c>
      <c r="F11" s="2">
        <f t="shared" si="4"/>
        <v>0.10888473599999975</v>
      </c>
      <c r="G11" s="2">
        <f t="shared" si="0"/>
        <v>3.9411820800000018E-2</v>
      </c>
      <c r="K11" s="6" t="s">
        <v>39</v>
      </c>
      <c r="L11" s="1">
        <f>L9-(L10*B4)+(B4^2/2)*L12</f>
        <v>2.2500000000000007E-3</v>
      </c>
      <c r="M11" s="1"/>
      <c r="N11" s="1" t="s">
        <v>43</v>
      </c>
      <c r="O11" s="1">
        <f>(L5/(B4^2))-(L13/(2*B4))</f>
        <v>9999.9999999999982</v>
      </c>
      <c r="P11" s="1"/>
      <c r="Q11" s="1"/>
      <c r="R11" s="1"/>
      <c r="S11" s="1"/>
      <c r="T11" s="7"/>
      <c r="X11" s="6"/>
      <c r="Y11" s="1"/>
      <c r="Z11" s="1"/>
      <c r="AA11" s="1"/>
      <c r="AB11" s="1"/>
      <c r="AC11" s="1"/>
      <c r="AD11" s="1"/>
      <c r="AE11" s="7"/>
    </row>
    <row r="12" spans="1:31" x14ac:dyDescent="0.25">
      <c r="A12" s="15" t="s">
        <v>18</v>
      </c>
      <c r="B12" s="2">
        <v>0.9</v>
      </c>
      <c r="C12" s="2">
        <f t="shared" si="1"/>
        <v>0</v>
      </c>
      <c r="D12" s="2">
        <f t="shared" si="2"/>
        <v>2.6708601600000047E-3</v>
      </c>
      <c r="E12" s="2">
        <f t="shared" ref="E12:E21" si="5">(D13-D11)/(2*$B$4)</f>
        <v>3.6843477119999989E-2</v>
      </c>
      <c r="F12" s="2">
        <f>(D11+D13-2*D12)/($B$4^2)</f>
        <v>-0.16025160960000023</v>
      </c>
      <c r="G12" s="2">
        <f t="shared" si="0"/>
        <v>3.6843477119999989E-2</v>
      </c>
      <c r="K12" s="6" t="s">
        <v>37</v>
      </c>
      <c r="L12" s="1">
        <f>($C$3-($L$8*$L$9)-($L$13*$L$10))/$L$5</f>
        <v>0.45</v>
      </c>
      <c r="M12" s="1"/>
      <c r="N12" s="1"/>
      <c r="O12" s="1"/>
      <c r="P12" s="1"/>
      <c r="Q12" s="1"/>
      <c r="R12" s="1"/>
      <c r="S12" s="1"/>
      <c r="T12" s="7"/>
      <c r="X12" s="6"/>
      <c r="Y12" s="1"/>
      <c r="Z12" s="1"/>
      <c r="AA12" s="1"/>
      <c r="AB12" s="1"/>
      <c r="AC12" s="1"/>
      <c r="AD12" s="1"/>
      <c r="AE12" s="7"/>
    </row>
    <row r="13" spans="1:31" x14ac:dyDescent="0.25">
      <c r="A13" s="15" t="s">
        <v>20</v>
      </c>
      <c r="B13" s="2">
        <v>1</v>
      </c>
      <c r="C13" s="2">
        <f t="shared" si="1"/>
        <v>0</v>
      </c>
      <c r="D13" s="2">
        <f t="shared" si="2"/>
        <v>5.5539498240000026E-3</v>
      </c>
      <c r="E13" s="2">
        <f t="shared" si="5"/>
        <v>1.2169047167999967E-2</v>
      </c>
      <c r="F13" s="2">
        <f t="shared" si="4"/>
        <v>-0.33323698944000013</v>
      </c>
      <c r="G13" s="2">
        <f t="shared" si="0"/>
        <v>1.2169047167999967E-2</v>
      </c>
      <c r="K13" s="6" t="s">
        <v>38</v>
      </c>
      <c r="L13" s="1">
        <v>0</v>
      </c>
      <c r="M13" s="1"/>
      <c r="N13" s="1"/>
      <c r="O13" s="1"/>
      <c r="P13" s="1"/>
      <c r="Q13" s="1"/>
      <c r="R13" s="1"/>
      <c r="S13" s="1"/>
      <c r="T13" s="7"/>
      <c r="X13" s="6"/>
      <c r="Y13" s="1"/>
      <c r="Z13" s="1"/>
      <c r="AA13" s="1"/>
      <c r="AB13" s="1"/>
      <c r="AC13" s="1"/>
      <c r="AD13" s="1"/>
      <c r="AE13" s="7"/>
    </row>
    <row r="14" spans="1:31" x14ac:dyDescent="0.25">
      <c r="A14" s="15" t="s">
        <v>21</v>
      </c>
      <c r="B14" s="2">
        <v>1.1000000000000001</v>
      </c>
      <c r="C14" s="2">
        <f t="shared" si="1"/>
        <v>0</v>
      </c>
      <c r="D14" s="2">
        <f t="shared" si="2"/>
        <v>5.1046695935999982E-3</v>
      </c>
      <c r="E14" s="2">
        <f t="shared" si="5"/>
        <v>-1.9806811084800043E-2</v>
      </c>
      <c r="F14" s="2">
        <f t="shared" si="4"/>
        <v>-0.30628017561599991</v>
      </c>
      <c r="G14" s="2">
        <f t="shared" si="0"/>
        <v>-1.9806811084800043E-2</v>
      </c>
      <c r="K14" s="6"/>
      <c r="L14" s="1"/>
      <c r="M14" s="1"/>
      <c r="N14" s="1"/>
      <c r="O14" s="1"/>
      <c r="P14" s="1"/>
      <c r="Q14" s="1"/>
      <c r="R14" s="1"/>
      <c r="S14" s="1"/>
      <c r="T14" s="7"/>
      <c r="X14" s="6"/>
      <c r="Y14" s="1"/>
      <c r="Z14" s="1"/>
      <c r="AA14" s="1"/>
      <c r="AB14" s="1"/>
      <c r="AC14" s="1"/>
      <c r="AD14" s="1"/>
      <c r="AE14" s="7"/>
    </row>
    <row r="15" spans="1:31" x14ac:dyDescent="0.25">
      <c r="A15" s="15" t="s">
        <v>22</v>
      </c>
      <c r="B15" s="2">
        <v>1.2000000000000002</v>
      </c>
      <c r="C15" s="2">
        <f t="shared" si="1"/>
        <v>0</v>
      </c>
      <c r="D15" s="2">
        <f t="shared" si="2"/>
        <v>1.5925876070399939E-3</v>
      </c>
      <c r="E15" s="2">
        <f t="shared" si="5"/>
        <v>-3.9898582686720016E-2</v>
      </c>
      <c r="F15" s="2">
        <f t="shared" si="4"/>
        <v>-9.5555256422399606E-2</v>
      </c>
      <c r="G15" s="2">
        <f t="shared" si="0"/>
        <v>-3.9898582686720016E-2</v>
      </c>
      <c r="K15" s="6"/>
      <c r="L15" s="1"/>
      <c r="M15" s="1"/>
      <c r="N15" s="1"/>
      <c r="O15" s="1"/>
      <c r="P15" s="1"/>
      <c r="Q15" s="1"/>
      <c r="R15" s="1"/>
      <c r="S15" s="1"/>
      <c r="T15" s="7"/>
      <c r="X15" s="6"/>
      <c r="Y15" s="1"/>
      <c r="Z15" s="1"/>
      <c r="AA15" s="1"/>
      <c r="AB15" s="1"/>
      <c r="AC15" s="1"/>
      <c r="AD15" s="1"/>
      <c r="AE15" s="7"/>
    </row>
    <row r="16" spans="1:31" x14ac:dyDescent="0.25">
      <c r="A16" s="15" t="s">
        <v>23</v>
      </c>
      <c r="B16" s="2">
        <v>1.3</v>
      </c>
      <c r="C16" s="2">
        <f t="shared" si="1"/>
        <v>0</v>
      </c>
      <c r="D16" s="2">
        <f t="shared" si="2"/>
        <v>-2.8750469437440066E-3</v>
      </c>
      <c r="E16" s="2">
        <f t="shared" si="5"/>
        <v>-3.6051204676607981E-2</v>
      </c>
      <c r="F16" s="2">
        <f>(D15+D17-2*D16)/($B$4^2)</f>
        <v>0.17250281662464043</v>
      </c>
      <c r="G16" s="2">
        <f t="shared" si="0"/>
        <v>-3.6051204676607981E-2</v>
      </c>
      <c r="K16" s="6"/>
      <c r="L16" s="1"/>
      <c r="M16" s="1">
        <v>0</v>
      </c>
      <c r="N16" s="1">
        <f>L2</f>
        <v>45</v>
      </c>
      <c r="O16" s="1"/>
      <c r="P16" s="1"/>
      <c r="Q16" s="1"/>
      <c r="R16" s="1"/>
      <c r="S16" s="1"/>
      <c r="T16" s="7"/>
      <c r="X16" s="6"/>
      <c r="Y16" s="1"/>
      <c r="Z16" s="1"/>
      <c r="AA16" s="1"/>
      <c r="AB16" s="1"/>
      <c r="AC16" s="1"/>
      <c r="AD16" s="1"/>
      <c r="AE16" s="7"/>
    </row>
    <row r="17" spans="1:31" x14ac:dyDescent="0.25">
      <c r="A17" s="15" t="s">
        <v>24</v>
      </c>
      <c r="B17" s="2">
        <v>1.4000000000000001</v>
      </c>
      <c r="C17" s="2">
        <f t="shared" si="1"/>
        <v>0</v>
      </c>
      <c r="D17" s="2">
        <f t="shared" si="2"/>
        <v>-5.6176533282816027E-3</v>
      </c>
      <c r="E17" s="2">
        <f t="shared" si="5"/>
        <v>-1.0573103860531148E-2</v>
      </c>
      <c r="F17" s="2">
        <f t="shared" si="4"/>
        <v>0.33705919969689624</v>
      </c>
      <c r="G17" s="2">
        <f t="shared" si="0"/>
        <v>-1.0573103860531148E-2</v>
      </c>
      <c r="K17" s="6"/>
      <c r="L17" s="1"/>
      <c r="M17" s="1">
        <f>L3</f>
        <v>0.2</v>
      </c>
      <c r="N17" s="1">
        <f>IF(N19="constant",L2,0)</f>
        <v>0</v>
      </c>
      <c r="O17" s="1"/>
      <c r="P17" s="1"/>
      <c r="Q17" s="1"/>
      <c r="R17" s="1"/>
      <c r="S17" s="1"/>
      <c r="T17" s="7"/>
      <c r="X17" s="6"/>
      <c r="Y17" s="1"/>
      <c r="Z17" s="1"/>
      <c r="AA17" s="1"/>
      <c r="AB17" s="1"/>
      <c r="AC17" s="1"/>
      <c r="AD17" s="1"/>
      <c r="AE17" s="7"/>
    </row>
    <row r="18" spans="1:31" x14ac:dyDescent="0.25">
      <c r="A18" s="15" t="s">
        <v>25</v>
      </c>
      <c r="B18" s="2">
        <v>1.5</v>
      </c>
      <c r="C18" s="2">
        <f t="shared" si="1"/>
        <v>0</v>
      </c>
      <c r="D18" s="2">
        <f t="shared" si="2"/>
        <v>-4.9896677158502364E-3</v>
      </c>
      <c r="E18" s="2">
        <f t="shared" si="5"/>
        <v>2.124885927186437E-2</v>
      </c>
      <c r="F18" s="2">
        <f>(D17+D19-2*D18)/($B$4^2)</f>
        <v>0.2993800629510141</v>
      </c>
      <c r="G18" s="2">
        <f t="shared" si="0"/>
        <v>2.124885927186437E-2</v>
      </c>
      <c r="K18" s="6"/>
      <c r="L18" s="1"/>
      <c r="M18" s="1"/>
      <c r="N18" s="1"/>
      <c r="O18" s="1"/>
      <c r="P18" s="1"/>
      <c r="Q18" s="1"/>
      <c r="R18" s="1"/>
      <c r="S18" s="1"/>
      <c r="T18" s="7"/>
      <c r="X18" s="6"/>
      <c r="Y18" s="1"/>
      <c r="Z18" s="1"/>
      <c r="AA18" s="1"/>
      <c r="AB18" s="1"/>
      <c r="AC18" s="1"/>
      <c r="AD18" s="1"/>
      <c r="AE18" s="7"/>
    </row>
    <row r="19" spans="1:31" ht="15.75" thickBot="1" x14ac:dyDescent="0.3">
      <c r="A19" s="15" t="s">
        <v>26</v>
      </c>
      <c r="B19" s="2">
        <v>1.6</v>
      </c>
      <c r="C19" s="2">
        <f t="shared" si="1"/>
        <v>0</v>
      </c>
      <c r="D19" s="2">
        <f t="shared" si="2"/>
        <v>-1.3678814739087283E-3</v>
      </c>
      <c r="E19" s="2">
        <f t="shared" si="5"/>
        <v>4.0321506841141261E-2</v>
      </c>
      <c r="F19" s="2">
        <f t="shared" si="4"/>
        <v>8.2072888434523719E-2</v>
      </c>
      <c r="G19" s="2">
        <f t="shared" si="0"/>
        <v>4.0321506841141261E-2</v>
      </c>
      <c r="K19" s="6"/>
      <c r="L19" s="1"/>
      <c r="M19" s="1" t="s">
        <v>55</v>
      </c>
      <c r="N19" s="1" t="s">
        <v>58</v>
      </c>
      <c r="O19" s="1"/>
      <c r="P19" s="1"/>
      <c r="Q19" s="1"/>
      <c r="R19" s="1"/>
      <c r="S19" s="1"/>
      <c r="T19" s="7"/>
      <c r="X19" s="8"/>
      <c r="Y19" s="9"/>
      <c r="Z19" s="9"/>
      <c r="AA19" s="9"/>
      <c r="AB19" s="9"/>
      <c r="AC19" s="9"/>
      <c r="AD19" s="9"/>
      <c r="AE19" s="10"/>
    </row>
    <row r="20" spans="1:31" x14ac:dyDescent="0.25">
      <c r="A20" s="15" t="s">
        <v>27</v>
      </c>
      <c r="B20" s="2">
        <v>1.7000000000000002</v>
      </c>
      <c r="C20" s="2">
        <f t="shared" si="1"/>
        <v>0</v>
      </c>
      <c r="D20" s="2">
        <f t="shared" si="2"/>
        <v>3.0746336523780173E-3</v>
      </c>
      <c r="E20" s="2">
        <f t="shared" si="5"/>
        <v>3.52012503057334E-2</v>
      </c>
      <c r="F20" s="2">
        <f>(D19+D21-2*D20)/($B$4^2)</f>
        <v>-0.18447801914268105</v>
      </c>
      <c r="G20" s="2">
        <f t="shared" si="0"/>
        <v>3.52012503057334E-2</v>
      </c>
      <c r="K20" s="6"/>
      <c r="L20" s="1"/>
      <c r="M20" s="1" t="s">
        <v>58</v>
      </c>
      <c r="N20" s="1"/>
      <c r="O20" s="1"/>
      <c r="P20" s="1"/>
      <c r="Q20" s="1"/>
      <c r="R20" s="1"/>
      <c r="S20" s="1"/>
      <c r="T20" s="7"/>
    </row>
    <row r="21" spans="1:31" x14ac:dyDescent="0.25">
      <c r="A21" s="15" t="s">
        <v>28</v>
      </c>
      <c r="B21" s="2">
        <v>1.8</v>
      </c>
      <c r="C21" s="2">
        <f t="shared" si="1"/>
        <v>0</v>
      </c>
      <c r="D21" s="2">
        <f t="shared" si="2"/>
        <v>5.6723685872379524E-3</v>
      </c>
      <c r="E21" s="2">
        <f t="shared" si="5"/>
        <v>8.9602435868854843E-3</v>
      </c>
      <c r="F21" s="2">
        <f>(D20+D22-2*D21)/($B$4^2)</f>
        <v>-0.34034211523427715</v>
      </c>
      <c r="G21" s="2">
        <f t="shared" si="0"/>
        <v>8.9602435868854843E-3</v>
      </c>
      <c r="K21" s="6"/>
      <c r="L21" s="1"/>
      <c r="M21" s="1"/>
      <c r="N21" s="1"/>
      <c r="O21" s="1"/>
      <c r="P21" s="1"/>
      <c r="Q21" s="1"/>
      <c r="R21" s="1"/>
      <c r="S21" s="1"/>
      <c r="T21" s="7"/>
    </row>
    <row r="22" spans="1:31" x14ac:dyDescent="0.25">
      <c r="A22" s="15" t="s">
        <v>29</v>
      </c>
      <c r="B22" s="2">
        <v>1.9000000000000001</v>
      </c>
      <c r="C22" s="2">
        <f t="shared" si="1"/>
        <v>0</v>
      </c>
      <c r="D22" s="2">
        <f t="shared" si="2"/>
        <v>4.8666823697551143E-3</v>
      </c>
      <c r="E22" s="2">
        <f>(D23-D21)/(2*$B$4)</f>
        <v>-2.2656909284093727E-2</v>
      </c>
      <c r="F22" s="2">
        <f t="shared" si="4"/>
        <v>-0.29200094218530687</v>
      </c>
      <c r="G22" s="2">
        <f t="shared" si="0"/>
        <v>-2.2656909284093727E-2</v>
      </c>
      <c r="K22" s="6"/>
      <c r="L22" s="1"/>
      <c r="M22" s="1"/>
      <c r="N22" s="1"/>
      <c r="O22" s="1"/>
      <c r="P22" s="1"/>
      <c r="Q22" s="1"/>
      <c r="R22" s="1"/>
      <c r="S22" s="1"/>
      <c r="T22" s="7"/>
    </row>
    <row r="23" spans="1:31" x14ac:dyDescent="0.25">
      <c r="A23" s="15" t="s">
        <v>30</v>
      </c>
      <c r="B23" s="2">
        <v>2</v>
      </c>
      <c r="C23" s="2">
        <f t="shared" si="1"/>
        <v>0</v>
      </c>
      <c r="D23" s="2">
        <f t="shared" si="2"/>
        <v>1.1409867304192072E-3</v>
      </c>
      <c r="E23" s="2">
        <f>(D24-D22)/(2*$B$4)</f>
        <v>-4.0679916584616692E-2</v>
      </c>
      <c r="F23" s="2">
        <f>(D22+D24-2*D23)/($B$4^2)</f>
        <v>-6.8459203825152498E-2</v>
      </c>
      <c r="G23" s="2">
        <f t="shared" si="0"/>
        <v>-4.0679916584616692E-2</v>
      </c>
      <c r="K23" s="6"/>
      <c r="L23" s="1"/>
      <c r="M23" s="1"/>
      <c r="N23" s="1"/>
      <c r="O23" s="1"/>
      <c r="P23" s="1"/>
      <c r="Q23" s="1"/>
      <c r="R23" s="1"/>
      <c r="S23" s="1"/>
      <c r="T23" s="7"/>
    </row>
    <row r="24" spans="1:31" x14ac:dyDescent="0.25">
      <c r="A24" s="2"/>
      <c r="B24" s="2">
        <v>2.1</v>
      </c>
      <c r="C24" s="2">
        <f t="shared" si="1"/>
        <v>0</v>
      </c>
      <c r="D24" s="2">
        <f t="shared" si="2"/>
        <v>-3.2693009471682251E-3</v>
      </c>
      <c r="E24" s="2">
        <f t="shared" ref="E24:E83" si="6">(D25-D23)/(2*$B$4)</f>
        <v>-3.4294973934369644E-2</v>
      </c>
      <c r="F24" s="2">
        <f t="shared" ref="F24:F83" si="7">(D23+D25-2*D24)/($B$4^2)</f>
        <v>0.19615805683009346</v>
      </c>
      <c r="G24" s="2">
        <f t="shared" si="0"/>
        <v>-3.4294973934369644E-2</v>
      </c>
      <c r="K24" s="6"/>
      <c r="L24" s="1"/>
      <c r="M24" s="1"/>
      <c r="N24" s="1"/>
      <c r="O24" s="1"/>
      <c r="P24" s="1"/>
      <c r="Q24" s="1"/>
      <c r="R24" s="1"/>
      <c r="S24" s="1"/>
      <c r="T24" s="7"/>
    </row>
    <row r="25" spans="1:31" ht="15.75" thickBot="1" x14ac:dyDescent="0.3">
      <c r="A25" s="2"/>
      <c r="B25" s="2">
        <v>2.2000000000000002</v>
      </c>
      <c r="C25" s="2">
        <f t="shared" si="1"/>
        <v>0</v>
      </c>
      <c r="D25" s="2">
        <f t="shared" si="2"/>
        <v>-5.7180080564547221E-3</v>
      </c>
      <c r="E25" s="2">
        <f t="shared" si="6"/>
        <v>-7.3330469235008021E-3</v>
      </c>
      <c r="F25" s="2">
        <f t="shared" si="7"/>
        <v>0.3430804833872832</v>
      </c>
      <c r="G25" s="2">
        <f t="shared" si="0"/>
        <v>-7.3330469235008021E-3</v>
      </c>
      <c r="K25" s="8"/>
      <c r="L25" s="9"/>
      <c r="M25" s="9"/>
      <c r="N25" s="9"/>
      <c r="O25" s="9"/>
      <c r="P25" s="9"/>
      <c r="Q25" s="9"/>
      <c r="R25" s="9"/>
      <c r="S25" s="9"/>
      <c r="T25" s="10"/>
    </row>
    <row r="26" spans="1:31" x14ac:dyDescent="0.25">
      <c r="A26" s="2"/>
      <c r="B26" s="2">
        <v>2.3000000000000003</v>
      </c>
      <c r="C26" s="2">
        <f t="shared" si="1"/>
        <v>0</v>
      </c>
      <c r="D26" s="2">
        <f t="shared" si="2"/>
        <v>-4.7359103318683855E-3</v>
      </c>
      <c r="E26" s="2">
        <f t="shared" si="6"/>
        <v>2.4028708241468522E-2</v>
      </c>
      <c r="F26" s="2">
        <f t="shared" si="7"/>
        <v>0.28415461991210311</v>
      </c>
      <c r="G26" s="2">
        <f t="shared" si="0"/>
        <v>2.4028708241468522E-2</v>
      </c>
    </row>
    <row r="27" spans="1:31" x14ac:dyDescent="0.25">
      <c r="A27" s="2"/>
      <c r="B27" s="2">
        <v>2.4000000000000004</v>
      </c>
      <c r="C27" s="2">
        <f t="shared" si="1"/>
        <v>0</v>
      </c>
      <c r="D27" s="2">
        <f t="shared" si="2"/>
        <v>-9.1226640816101693E-4</v>
      </c>
      <c r="E27" s="2">
        <f t="shared" si="6"/>
        <v>4.0973238461556732E-2</v>
      </c>
      <c r="F27" s="2">
        <f t="shared" si="7"/>
        <v>5.4735984489660966E-2</v>
      </c>
      <c r="G27" s="2">
        <f t="shared" si="0"/>
        <v>4.0973238461556732E-2</v>
      </c>
    </row>
    <row r="28" spans="1:31" x14ac:dyDescent="0.25">
      <c r="A28" s="2"/>
      <c r="B28" s="2">
        <v>2.5</v>
      </c>
      <c r="C28" s="2">
        <f t="shared" si="1"/>
        <v>0</v>
      </c>
      <c r="D28" s="2">
        <f t="shared" si="2"/>
        <v>3.4587373604429614E-3</v>
      </c>
      <c r="E28" s="2">
        <f t="shared" si="6"/>
        <v>3.3333825604710897E-2</v>
      </c>
      <c r="F28" s="2">
        <f t="shared" si="7"/>
        <v>-0.20752424162657773</v>
      </c>
      <c r="G28" s="2">
        <f t="shared" si="0"/>
        <v>3.3333825604710897E-2</v>
      </c>
    </row>
    <row r="29" spans="1:31" x14ac:dyDescent="0.25">
      <c r="A29" s="2"/>
      <c r="B29" s="2">
        <v>2.6</v>
      </c>
      <c r="C29" s="2">
        <f t="shared" si="1"/>
        <v>0</v>
      </c>
      <c r="D29" s="2">
        <f t="shared" si="2"/>
        <v>5.7544987127811625E-3</v>
      </c>
      <c r="E29" s="2">
        <f t="shared" si="6"/>
        <v>5.694117385038517E-3</v>
      </c>
      <c r="F29" s="2">
        <f t="shared" si="7"/>
        <v>-0.34526992276686974</v>
      </c>
      <c r="G29" s="2">
        <f t="shared" si="0"/>
        <v>5.694117385038517E-3</v>
      </c>
    </row>
    <row r="30" spans="1:31" x14ac:dyDescent="0.25">
      <c r="A30" s="2"/>
      <c r="B30" s="2">
        <v>2.7</v>
      </c>
      <c r="C30" s="2">
        <f t="shared" si="1"/>
        <v>0</v>
      </c>
      <c r="D30" s="2">
        <f t="shared" si="2"/>
        <v>4.5975608374506649E-3</v>
      </c>
      <c r="E30" s="2">
        <f t="shared" si="6"/>
        <v>-2.536206126565697E-2</v>
      </c>
      <c r="F30" s="2">
        <f t="shared" si="7"/>
        <v>-0.27585365024703989</v>
      </c>
      <c r="G30" s="2">
        <f t="shared" si="0"/>
        <v>-2.536206126565697E-2</v>
      </c>
    </row>
    <row r="31" spans="1:31" x14ac:dyDescent="0.25">
      <c r="A31" s="2"/>
      <c r="B31" s="2">
        <v>2.8000000000000003</v>
      </c>
      <c r="C31" s="2">
        <f t="shared" si="1"/>
        <v>0</v>
      </c>
      <c r="D31" s="2">
        <f t="shared" si="2"/>
        <v>6.8208645964976794E-4</v>
      </c>
      <c r="E31" s="2">
        <f t="shared" si="6"/>
        <v>-4.1201003156958273E-2</v>
      </c>
      <c r="F31" s="2">
        <f t="shared" si="7"/>
        <v>-4.0925187578986111E-2</v>
      </c>
      <c r="G31" s="2">
        <f t="shared" si="0"/>
        <v>-4.1201003156958273E-2</v>
      </c>
    </row>
    <row r="32" spans="1:31" x14ac:dyDescent="0.25">
      <c r="A32" s="2"/>
      <c r="B32" s="2">
        <v>2.9000000000000004</v>
      </c>
      <c r="C32" s="2">
        <f t="shared" si="1"/>
        <v>0</v>
      </c>
      <c r="D32" s="2">
        <f t="shared" si="2"/>
        <v>-3.6426397939409902E-3</v>
      </c>
      <c r="E32" s="2">
        <f t="shared" si="6"/>
        <v>-3.2319343154084607E-2</v>
      </c>
      <c r="F32" s="2">
        <f t="shared" si="7"/>
        <v>0.21855838763645946</v>
      </c>
      <c r="G32" s="2">
        <f t="shared" si="0"/>
        <v>-3.2319343154084607E-2</v>
      </c>
    </row>
    <row r="33" spans="1:7" x14ac:dyDescent="0.25">
      <c r="A33" s="2"/>
      <c r="B33" s="2">
        <v>3</v>
      </c>
      <c r="C33" s="2">
        <f t="shared" si="1"/>
        <v>0</v>
      </c>
      <c r="D33" s="2">
        <f t="shared" si="2"/>
        <v>-5.7817821711671534E-3</v>
      </c>
      <c r="E33" s="2">
        <f t="shared" si="6"/>
        <v>-4.0460772587601699E-3</v>
      </c>
      <c r="F33" s="2">
        <f t="shared" si="7"/>
        <v>0.34690693027002911</v>
      </c>
      <c r="G33" s="2">
        <f t="shared" ref="G33:G64" si="8">HLOOKUP($AA$2,$D$1:$F$83,ROW(),0)</f>
        <v>-4.0460772587601699E-3</v>
      </c>
    </row>
    <row r="34" spans="1:7" x14ac:dyDescent="0.25">
      <c r="A34" s="2"/>
      <c r="B34" s="2">
        <v>3.1</v>
      </c>
      <c r="C34" s="2">
        <f t="shared" si="1"/>
        <v>0</v>
      </c>
      <c r="D34" s="2">
        <f t="shared" si="2"/>
        <v>-4.4518552456930243E-3</v>
      </c>
      <c r="E34" s="2">
        <f t="shared" si="6"/>
        <v>2.6654834991820364E-2</v>
      </c>
      <c r="F34" s="2">
        <f t="shared" si="7"/>
        <v>0.26711131474158145</v>
      </c>
      <c r="G34" s="2">
        <f t="shared" si="8"/>
        <v>2.6654834991820364E-2</v>
      </c>
    </row>
    <row r="35" spans="1:7" x14ac:dyDescent="0.25">
      <c r="A35" s="2"/>
      <c r="B35" s="2">
        <v>3.2</v>
      </c>
      <c r="C35" s="2">
        <f t="shared" ref="C35:C66" si="9">IF($N$19="constant",$L$2,IF(B35&gt;$L$3,0,$L$2-($L$4*B35)))</f>
        <v>0</v>
      </c>
      <c r="D35" s="2">
        <f t="shared" si="2"/>
        <v>-4.5081517280308041E-4</v>
      </c>
      <c r="E35" s="2">
        <f t="shared" si="6"/>
        <v>4.1362846247308682E-2</v>
      </c>
      <c r="F35" s="2">
        <f t="shared" si="7"/>
        <v>2.7048910368184815E-2</v>
      </c>
      <c r="G35" s="2">
        <f t="shared" si="8"/>
        <v>4.1362846247308682E-2</v>
      </c>
    </row>
    <row r="36" spans="1:7" x14ac:dyDescent="0.25">
      <c r="A36" s="2"/>
      <c r="B36" s="2">
        <v>3.3000000000000003</v>
      </c>
      <c r="C36" s="2">
        <f t="shared" si="9"/>
        <v>0</v>
      </c>
      <c r="D36" s="2">
        <f t="shared" ref="D36:D67" si="10">(C35-($O$10*D35)-($O$11*D34))/$O$9</f>
        <v>3.8207140037687117E-3</v>
      </c>
      <c r="E36" s="2">
        <f t="shared" si="6"/>
        <v>3.1253149754411784E-2</v>
      </c>
      <c r="F36" s="2">
        <f t="shared" si="7"/>
        <v>-0.22924284022612265</v>
      </c>
      <c r="G36" s="2">
        <f t="shared" si="8"/>
        <v>3.1253149754411784E-2</v>
      </c>
    </row>
    <row r="37" spans="1:7" x14ac:dyDescent="0.25">
      <c r="A37" s="2"/>
      <c r="B37" s="2">
        <v>3.4000000000000004</v>
      </c>
      <c r="C37" s="2">
        <f t="shared" si="9"/>
        <v>0</v>
      </c>
      <c r="D37" s="2">
        <f t="shared" si="10"/>
        <v>5.7998147780792767E-3</v>
      </c>
      <c r="E37" s="2">
        <f t="shared" si="6"/>
        <v>2.3915634088678204E-3</v>
      </c>
      <c r="F37" s="2">
        <f t="shared" si="7"/>
        <v>-0.34798888668475658</v>
      </c>
      <c r="G37" s="2">
        <f t="shared" si="8"/>
        <v>2.3915634088678204E-3</v>
      </c>
    </row>
    <row r="38" spans="1:7" x14ac:dyDescent="0.25">
      <c r="A38" s="2"/>
      <c r="B38" s="2">
        <v>3.5</v>
      </c>
      <c r="C38" s="2">
        <f t="shared" si="9"/>
        <v>0</v>
      </c>
      <c r="D38" s="2">
        <f t="shared" si="10"/>
        <v>4.2990266855422758E-3</v>
      </c>
      <c r="E38" s="2">
        <f t="shared" si="6"/>
        <v>-2.7904960981996837E-2</v>
      </c>
      <c r="F38" s="2">
        <f t="shared" si="7"/>
        <v>-0.25794160113253656</v>
      </c>
      <c r="G38" s="2">
        <f t="shared" si="8"/>
        <v>-2.7904960981996837E-2</v>
      </c>
    </row>
    <row r="39" spans="1:7" x14ac:dyDescent="0.25">
      <c r="A39" s="2"/>
      <c r="B39" s="2">
        <v>3.6</v>
      </c>
      <c r="C39" s="2">
        <f t="shared" si="9"/>
        <v>0</v>
      </c>
      <c r="D39" s="2">
        <f t="shared" si="10"/>
        <v>2.1882258167990902E-4</v>
      </c>
      <c r="E39" s="2">
        <f t="shared" si="6"/>
        <v>-4.1458508783663389E-2</v>
      </c>
      <c r="F39" s="2">
        <f t="shared" si="7"/>
        <v>-1.3129354900794584E-2</v>
      </c>
      <c r="G39" s="2">
        <f t="shared" si="8"/>
        <v>-4.1458508783663389E-2</v>
      </c>
    </row>
    <row r="40" spans="1:7" x14ac:dyDescent="0.25">
      <c r="A40" s="2"/>
      <c r="B40" s="2">
        <v>3.7</v>
      </c>
      <c r="C40" s="2">
        <f t="shared" si="9"/>
        <v>0</v>
      </c>
      <c r="D40" s="2">
        <f t="shared" si="10"/>
        <v>-3.9926750711904036E-3</v>
      </c>
      <c r="E40" s="2">
        <f t="shared" si="6"/>
        <v>-3.0136951315131905E-2</v>
      </c>
      <c r="F40" s="2">
        <f t="shared" si="7"/>
        <v>0.23956050427142425</v>
      </c>
      <c r="G40" s="2">
        <f t="shared" si="8"/>
        <v>-3.0136951315131905E-2</v>
      </c>
    </row>
    <row r="41" spans="1:7" x14ac:dyDescent="0.25">
      <c r="A41" s="2"/>
      <c r="B41" s="2">
        <v>3.8000000000000003</v>
      </c>
      <c r="C41" s="2">
        <f t="shared" si="9"/>
        <v>0</v>
      </c>
      <c r="D41" s="2">
        <f t="shared" si="10"/>
        <v>-5.8085676813464729E-3</v>
      </c>
      <c r="E41" s="2">
        <f t="shared" si="6"/>
        <v>-7.3322305752126973E-4</v>
      </c>
      <c r="F41" s="2">
        <f t="shared" si="7"/>
        <v>0.34851406088078829</v>
      </c>
      <c r="G41" s="2">
        <f t="shared" si="8"/>
        <v>-7.3322305752126973E-4</v>
      </c>
    </row>
    <row r="42" spans="1:7" x14ac:dyDescent="0.25">
      <c r="A42" s="2"/>
      <c r="B42" s="2">
        <v>3.9000000000000004</v>
      </c>
      <c r="C42" s="2">
        <f t="shared" si="9"/>
        <v>0</v>
      </c>
      <c r="D42" s="2">
        <f t="shared" si="10"/>
        <v>-4.1393196826946576E-3</v>
      </c>
      <c r="E42" s="2">
        <f t="shared" si="6"/>
        <v>2.9110439034602125E-2</v>
      </c>
      <c r="F42" s="2">
        <f t="shared" si="7"/>
        <v>0.24835918096167944</v>
      </c>
      <c r="G42" s="2">
        <f t="shared" si="8"/>
        <v>2.9110439034602125E-2</v>
      </c>
    </row>
    <row r="43" spans="1:7" x14ac:dyDescent="0.25">
      <c r="A43" s="2"/>
      <c r="B43" s="2">
        <v>4</v>
      </c>
      <c r="C43" s="2">
        <f t="shared" si="9"/>
        <v>0</v>
      </c>
      <c r="D43" s="2">
        <f t="shared" si="10"/>
        <v>1.3520125573952415E-5</v>
      </c>
      <c r="E43" s="2">
        <f t="shared" si="6"/>
        <v>4.1487837705964245E-2</v>
      </c>
      <c r="F43" s="2">
        <f t="shared" si="7"/>
        <v>-8.1120753443711174E-4</v>
      </c>
      <c r="G43" s="2">
        <f t="shared" si="8"/>
        <v>4.1487837705964245E-2</v>
      </c>
    </row>
    <row r="44" spans="1:7" x14ac:dyDescent="0.25">
      <c r="A44" s="2"/>
      <c r="B44" s="2">
        <v>4.1000000000000005</v>
      </c>
      <c r="C44" s="2">
        <f t="shared" si="9"/>
        <v>0</v>
      </c>
      <c r="D44" s="2">
        <f t="shared" si="10"/>
        <v>4.1582478584981913E-3</v>
      </c>
      <c r="E44" s="2">
        <f t="shared" si="6"/>
        <v>2.8972533753747809E-2</v>
      </c>
      <c r="F44" s="2">
        <f t="shared" si="7"/>
        <v>-0.24949487150989147</v>
      </c>
      <c r="G44" s="2">
        <f t="shared" si="8"/>
        <v>2.8972533753747809E-2</v>
      </c>
    </row>
    <row r="45" spans="1:7" x14ac:dyDescent="0.25">
      <c r="A45" s="2"/>
      <c r="B45" s="2">
        <v>4.2</v>
      </c>
      <c r="C45" s="2">
        <f t="shared" si="9"/>
        <v>0</v>
      </c>
      <c r="D45" s="2">
        <f t="shared" si="10"/>
        <v>5.8080268763235146E-3</v>
      </c>
      <c r="E45" s="2">
        <f t="shared" si="6"/>
        <v>-9.2629045071731825E-4</v>
      </c>
      <c r="F45" s="2">
        <f t="shared" si="7"/>
        <v>-0.3484816125794109</v>
      </c>
      <c r="G45" s="2">
        <f t="shared" si="8"/>
        <v>-9.2629045071731825E-4</v>
      </c>
    </row>
    <row r="46" spans="1:7" x14ac:dyDescent="0.25">
      <c r="A46" s="2"/>
      <c r="B46" s="2">
        <v>4.3</v>
      </c>
      <c r="C46" s="2">
        <f t="shared" si="9"/>
        <v>0</v>
      </c>
      <c r="D46" s="2">
        <f t="shared" si="10"/>
        <v>3.9729897683547276E-3</v>
      </c>
      <c r="E46" s="2">
        <f t="shared" si="6"/>
        <v>-3.0269340384752048E-2</v>
      </c>
      <c r="F46" s="2">
        <f t="shared" si="7"/>
        <v>-0.23837938610128356</v>
      </c>
      <c r="G46" s="2">
        <f t="shared" si="8"/>
        <v>-3.0269340384752048E-2</v>
      </c>
    </row>
    <row r="47" spans="1:7" x14ac:dyDescent="0.25">
      <c r="A47" s="2"/>
      <c r="B47" s="2">
        <v>4.4000000000000004</v>
      </c>
      <c r="C47" s="2">
        <f t="shared" si="9"/>
        <v>0</v>
      </c>
      <c r="D47" s="2">
        <f t="shared" si="10"/>
        <v>-2.4584120062689585E-4</v>
      </c>
      <c r="E47" s="2">
        <f t="shared" si="6"/>
        <v>-4.1450786087935544E-2</v>
      </c>
      <c r="F47" s="2">
        <f t="shared" si="7"/>
        <v>1.4750472037613774E-2</v>
      </c>
      <c r="G47" s="2">
        <f t="shared" si="8"/>
        <v>-4.1450786087935544E-2</v>
      </c>
    </row>
    <row r="48" spans="1:7" x14ac:dyDescent="0.25">
      <c r="A48" s="2"/>
      <c r="B48" s="2">
        <v>4.5</v>
      </c>
      <c r="C48" s="2">
        <f t="shared" si="9"/>
        <v>0</v>
      </c>
      <c r="D48" s="2">
        <f t="shared" si="10"/>
        <v>-4.3171674492323816E-3</v>
      </c>
      <c r="E48" s="2">
        <f t="shared" si="6"/>
        <v>-2.7761760138357711E-2</v>
      </c>
      <c r="F48" s="2">
        <f t="shared" si="7"/>
        <v>0.25903004695394294</v>
      </c>
      <c r="G48" s="2">
        <f t="shared" si="8"/>
        <v>-2.7761760138357711E-2</v>
      </c>
    </row>
    <row r="49" spans="1:7" x14ac:dyDescent="0.25">
      <c r="A49" s="2"/>
      <c r="B49" s="2">
        <v>4.6000000000000005</v>
      </c>
      <c r="C49" s="2">
        <f t="shared" si="9"/>
        <v>0</v>
      </c>
      <c r="D49" s="2">
        <f t="shared" si="10"/>
        <v>-5.7981932282984375E-3</v>
      </c>
      <c r="E49" s="2">
        <f t="shared" si="6"/>
        <v>2.5843218942347545E-3</v>
      </c>
      <c r="F49" s="2">
        <f t="shared" si="7"/>
        <v>0.34789159369790623</v>
      </c>
      <c r="G49" s="2">
        <f t="shared" si="8"/>
        <v>2.5843218942347545E-3</v>
      </c>
    </row>
    <row r="50" spans="1:7" x14ac:dyDescent="0.25">
      <c r="A50" s="2"/>
      <c r="B50" s="2">
        <v>4.7</v>
      </c>
      <c r="C50" s="2">
        <f t="shared" si="9"/>
        <v>0</v>
      </c>
      <c r="D50" s="2">
        <f t="shared" si="10"/>
        <v>-3.8003030703854307E-3</v>
      </c>
      <c r="E50" s="2">
        <f t="shared" si="6"/>
        <v>3.1379810790286358E-2</v>
      </c>
      <c r="F50" s="2">
        <f t="shared" si="7"/>
        <v>0.22801818422312584</v>
      </c>
      <c r="G50" s="2">
        <f t="shared" si="8"/>
        <v>3.1379810790286358E-2</v>
      </c>
    </row>
    <row r="51" spans="1:7" x14ac:dyDescent="0.25">
      <c r="A51" s="2"/>
      <c r="B51" s="2">
        <v>4.8000000000000007</v>
      </c>
      <c r="C51" s="2">
        <f t="shared" si="9"/>
        <v>0</v>
      </c>
      <c r="D51" s="2">
        <f t="shared" si="10"/>
        <v>4.7776892975883535E-4</v>
      </c>
      <c r="E51" s="2">
        <f t="shared" si="6"/>
        <v>4.1347413212166145E-2</v>
      </c>
      <c r="F51" s="2">
        <f t="shared" si="7"/>
        <v>-2.8666135785530133E-2</v>
      </c>
      <c r="G51" s="2">
        <f t="shared" si="8"/>
        <v>4.1347413212166145E-2</v>
      </c>
    </row>
    <row r="52" spans="1:7" x14ac:dyDescent="0.25">
      <c r="A52" s="2"/>
      <c r="B52" s="2">
        <v>4.9000000000000004</v>
      </c>
      <c r="C52" s="2">
        <f t="shared" si="9"/>
        <v>0</v>
      </c>
      <c r="D52" s="2">
        <f t="shared" si="10"/>
        <v>4.4691795720478E-3</v>
      </c>
      <c r="E52" s="2">
        <f t="shared" si="6"/>
        <v>2.6506567706746247E-2</v>
      </c>
      <c r="F52" s="2">
        <f t="shared" si="7"/>
        <v>-0.26815077432286799</v>
      </c>
      <c r="G52" s="2">
        <f t="shared" si="8"/>
        <v>2.6506567706746247E-2</v>
      </c>
    </row>
    <row r="53" spans="1:7" x14ac:dyDescent="0.25">
      <c r="A53" s="2"/>
      <c r="B53" s="2">
        <v>5</v>
      </c>
      <c r="C53" s="2">
        <f t="shared" si="9"/>
        <v>0</v>
      </c>
      <c r="D53" s="2">
        <f t="shared" si="10"/>
        <v>5.7790824711080845E-3</v>
      </c>
      <c r="E53" s="2">
        <f t="shared" si="6"/>
        <v>-4.238218422721411E-3</v>
      </c>
      <c r="F53" s="2">
        <f t="shared" si="7"/>
        <v>-0.34674494826648511</v>
      </c>
      <c r="G53" s="2">
        <f t="shared" si="8"/>
        <v>-4.238218422721411E-3</v>
      </c>
    </row>
    <row r="54" spans="1:7" x14ac:dyDescent="0.25">
      <c r="A54" s="2"/>
      <c r="B54" s="2">
        <v>5.1000000000000005</v>
      </c>
      <c r="C54" s="2">
        <f t="shared" si="9"/>
        <v>0</v>
      </c>
      <c r="D54" s="2">
        <f t="shared" si="10"/>
        <v>3.6215358875035177E-3</v>
      </c>
      <c r="E54" s="2">
        <f t="shared" si="6"/>
        <v>-3.2440073498556224E-2</v>
      </c>
      <c r="F54" s="2">
        <f t="shared" si="7"/>
        <v>-0.21729215325021109</v>
      </c>
      <c r="G54" s="2">
        <f t="shared" si="8"/>
        <v>-3.2440073498556224E-2</v>
      </c>
    </row>
    <row r="55" spans="1:7" x14ac:dyDescent="0.25">
      <c r="A55" s="2"/>
      <c r="B55" s="2">
        <v>5.2</v>
      </c>
      <c r="C55" s="2">
        <f t="shared" si="9"/>
        <v>0</v>
      </c>
      <c r="D55" s="2">
        <f t="shared" si="10"/>
        <v>-7.0893222860316039E-4</v>
      </c>
      <c r="E55" s="2">
        <f t="shared" si="6"/>
        <v>-4.1177884475257297E-2</v>
      </c>
      <c r="F55" s="2">
        <f t="shared" si="7"/>
        <v>4.2535933716189592E-2</v>
      </c>
      <c r="G55" s="2">
        <f t="shared" si="8"/>
        <v>-4.1177884475257297E-2</v>
      </c>
    </row>
    <row r="56" spans="1:7" x14ac:dyDescent="0.25">
      <c r="A56" s="2"/>
      <c r="B56" s="2">
        <v>5.3000000000000007</v>
      </c>
      <c r="C56" s="2">
        <f t="shared" si="9"/>
        <v>0</v>
      </c>
      <c r="D56" s="2">
        <f t="shared" si="10"/>
        <v>-4.6140410075479425E-3</v>
      </c>
      <c r="E56" s="2">
        <f t="shared" si="6"/>
        <v>-2.5208964766803989E-2</v>
      </c>
      <c r="F56" s="2">
        <f t="shared" si="7"/>
        <v>0.27684246045287653</v>
      </c>
      <c r="G56" s="2">
        <f t="shared" si="8"/>
        <v>-2.5208964766803989E-2</v>
      </c>
    </row>
    <row r="57" spans="1:7" x14ac:dyDescent="0.25">
      <c r="A57" s="2"/>
      <c r="B57" s="2">
        <v>5.4</v>
      </c>
      <c r="C57" s="2">
        <f t="shared" si="9"/>
        <v>0</v>
      </c>
      <c r="D57" s="2">
        <f t="shared" si="10"/>
        <v>-5.7507251819639586E-3</v>
      </c>
      <c r="E57" s="2">
        <f t="shared" si="6"/>
        <v>5.8853338017317205E-3</v>
      </c>
      <c r="F57" s="2">
        <f t="shared" si="7"/>
        <v>0.34504351091783758</v>
      </c>
      <c r="G57" s="2">
        <f t="shared" si="8"/>
        <v>5.8853338017317205E-3</v>
      </c>
    </row>
    <row r="58" spans="1:7" x14ac:dyDescent="0.25">
      <c r="A58" s="2"/>
      <c r="B58" s="2">
        <v>5.5</v>
      </c>
      <c r="C58" s="2">
        <f t="shared" si="9"/>
        <v>0</v>
      </c>
      <c r="D58" s="2">
        <f t="shared" si="10"/>
        <v>-3.4369742472015984E-3</v>
      </c>
      <c r="E58" s="2">
        <f t="shared" si="6"/>
        <v>3.3448432089228396E-2</v>
      </c>
      <c r="F58" s="2">
        <f t="shared" si="7"/>
        <v>0.20621845483209594</v>
      </c>
      <c r="G58" s="2">
        <f t="shared" si="8"/>
        <v>3.3448432089228396E-2</v>
      </c>
    </row>
    <row r="59" spans="1:7" x14ac:dyDescent="0.25">
      <c r="A59" s="2"/>
      <c r="B59" s="2">
        <v>5.6000000000000005</v>
      </c>
      <c r="C59" s="2">
        <f t="shared" si="9"/>
        <v>0</v>
      </c>
      <c r="D59" s="2">
        <f t="shared" si="10"/>
        <v>9.3896123588172115E-4</v>
      </c>
      <c r="E59" s="2">
        <f t="shared" si="6"/>
        <v>4.094247112318803E-2</v>
      </c>
      <c r="F59" s="2">
        <f t="shared" si="7"/>
        <v>-5.633767415290325E-2</v>
      </c>
      <c r="G59" s="2">
        <f t="shared" si="8"/>
        <v>4.094247112318803E-2</v>
      </c>
    </row>
    <row r="60" spans="1:7" x14ac:dyDescent="0.25">
      <c r="A60" s="2"/>
      <c r="B60" s="2">
        <v>5.7</v>
      </c>
      <c r="C60" s="2">
        <f t="shared" si="9"/>
        <v>0</v>
      </c>
      <c r="D60" s="2">
        <f t="shared" si="10"/>
        <v>4.7515199774360081E-3</v>
      </c>
      <c r="E60" s="2">
        <f t="shared" si="6"/>
        <v>2.3871027483234841E-2</v>
      </c>
      <c r="F60" s="2">
        <f t="shared" si="7"/>
        <v>-0.28509119864616039</v>
      </c>
      <c r="G60" s="2">
        <f t="shared" si="8"/>
        <v>2.3871027483234841E-2</v>
      </c>
    </row>
    <row r="61" spans="1:7" x14ac:dyDescent="0.25">
      <c r="A61" s="2"/>
      <c r="B61" s="2">
        <v>5.8000000000000007</v>
      </c>
      <c r="C61" s="2">
        <f t="shared" si="9"/>
        <v>0</v>
      </c>
      <c r="D61" s="2">
        <f t="shared" si="10"/>
        <v>5.71316673252869E-3</v>
      </c>
      <c r="E61" s="2">
        <f t="shared" si="6"/>
        <v>-7.5230326466592537E-3</v>
      </c>
      <c r="F61" s="2">
        <f t="shared" si="7"/>
        <v>-0.34279000395172143</v>
      </c>
      <c r="G61" s="2">
        <f t="shared" si="8"/>
        <v>-7.5230326466592537E-3</v>
      </c>
    </row>
    <row r="62" spans="1:7" x14ac:dyDescent="0.25">
      <c r="A62" s="2"/>
      <c r="B62" s="2">
        <v>5.9</v>
      </c>
      <c r="C62" s="2">
        <f t="shared" si="9"/>
        <v>0</v>
      </c>
      <c r="D62" s="2">
        <f t="shared" si="10"/>
        <v>3.2469134481041572E-3</v>
      </c>
      <c r="E62" s="2">
        <f t="shared" si="6"/>
        <v>-3.4403273188557799E-2</v>
      </c>
      <c r="F62" s="2">
        <f t="shared" si="7"/>
        <v>-0.19481480688624947</v>
      </c>
      <c r="G62" s="2">
        <f t="shared" si="8"/>
        <v>-3.4403273188557799E-2</v>
      </c>
    </row>
    <row r="63" spans="1:7" x14ac:dyDescent="0.25">
      <c r="A63" s="2"/>
      <c r="B63" s="2">
        <v>6</v>
      </c>
      <c r="C63" s="2">
        <f t="shared" si="9"/>
        <v>0</v>
      </c>
      <c r="D63" s="2">
        <f t="shared" si="10"/>
        <v>-1.1674879051828705E-3</v>
      </c>
      <c r="E63" s="2">
        <f t="shared" si="6"/>
        <v>-4.0641549817321661E-2</v>
      </c>
      <c r="F63" s="2">
        <f t="shared" si="7"/>
        <v>7.0049274310972298E-2</v>
      </c>
      <c r="G63" s="2">
        <f t="shared" si="8"/>
        <v>-4.0641549817321661E-2</v>
      </c>
    </row>
    <row r="64" spans="1:7" x14ac:dyDescent="0.25">
      <c r="A64" s="2"/>
      <c r="B64" s="2">
        <v>6.1000000000000005</v>
      </c>
      <c r="C64" s="2">
        <f t="shared" si="9"/>
        <v>0</v>
      </c>
      <c r="D64" s="2">
        <f t="shared" si="10"/>
        <v>-4.8813965153601752E-3</v>
      </c>
      <c r="E64" s="2">
        <f t="shared" si="6"/>
        <v>-2.2494896555692513E-2</v>
      </c>
      <c r="F64" s="2">
        <f t="shared" si="7"/>
        <v>0.29288379092161054</v>
      </c>
      <c r="G64" s="2">
        <f t="shared" si="8"/>
        <v>-2.2494896555692513E-2</v>
      </c>
    </row>
    <row r="65" spans="1:7" x14ac:dyDescent="0.25">
      <c r="A65" s="2"/>
      <c r="B65" s="2">
        <v>6.2</v>
      </c>
      <c r="C65" s="2">
        <f t="shared" si="9"/>
        <v>0</v>
      </c>
      <c r="D65" s="2">
        <f t="shared" si="10"/>
        <v>-5.6664672163213737E-3</v>
      </c>
      <c r="E65" s="2">
        <f t="shared" si="6"/>
        <v>9.1486946393521378E-3</v>
      </c>
      <c r="F65" s="2">
        <f t="shared" si="7"/>
        <v>0.33998803297928237</v>
      </c>
      <c r="G65" s="2">
        <f t="shared" ref="G65:G83" si="11">HLOOKUP($AA$2,$D$1:$F$83,ROW(),0)</f>
        <v>9.1486946393521378E-3</v>
      </c>
    </row>
    <row r="66" spans="1:7" x14ac:dyDescent="0.25">
      <c r="A66" s="2"/>
      <c r="B66" s="2">
        <v>6.3000000000000007</v>
      </c>
      <c r="C66" s="2">
        <f t="shared" si="9"/>
        <v>0</v>
      </c>
      <c r="D66" s="2">
        <f t="shared" si="10"/>
        <v>-3.0516575874897475E-3</v>
      </c>
      <c r="E66" s="2">
        <f t="shared" si="6"/>
        <v>3.5303069050785507E-2</v>
      </c>
      <c r="F66" s="2">
        <f t="shared" si="7"/>
        <v>0.18309945524938487</v>
      </c>
      <c r="G66" s="2">
        <f t="shared" si="11"/>
        <v>3.5303069050785507E-2</v>
      </c>
    </row>
    <row r="67" spans="1:7" x14ac:dyDescent="0.25">
      <c r="A67" s="2"/>
      <c r="B67" s="2">
        <v>6.4</v>
      </c>
      <c r="C67" s="2">
        <f t="shared" ref="C67:C83" si="12">IF($N$19="constant",$L$2,IF(B67&gt;$L$3,0,$L$2-($L$4*B67)))</f>
        <v>0</v>
      </c>
      <c r="D67" s="2">
        <f t="shared" si="10"/>
        <v>1.3941465938357277E-3</v>
      </c>
      <c r="E67" s="2">
        <f t="shared" si="6"/>
        <v>4.0275602031747564E-2</v>
      </c>
      <c r="F67" s="2">
        <f t="shared" si="7"/>
        <v>-8.3648795630143713E-2</v>
      </c>
      <c r="G67" s="2">
        <f t="shared" si="11"/>
        <v>4.0275602031747564E-2</v>
      </c>
    </row>
    <row r="68" spans="1:7" x14ac:dyDescent="0.25">
      <c r="A68" s="2"/>
      <c r="B68" s="2">
        <v>6.5</v>
      </c>
      <c r="C68" s="2">
        <f t="shared" si="12"/>
        <v>0</v>
      </c>
      <c r="D68" s="2">
        <f t="shared" ref="D68:D83" si="13">(C67-($O$10*D67)-($O$11*D66))/$O$9</f>
        <v>5.0034628188597658E-3</v>
      </c>
      <c r="E68" s="2">
        <f t="shared" si="6"/>
        <v>2.1082773793661077E-2</v>
      </c>
      <c r="F68" s="2">
        <f t="shared" si="7"/>
        <v>-0.30020776913158598</v>
      </c>
      <c r="G68" s="2">
        <f t="shared" si="11"/>
        <v>2.1082773793661077E-2</v>
      </c>
    </row>
    <row r="69" spans="1:7" x14ac:dyDescent="0.25">
      <c r="A69" s="2"/>
      <c r="B69" s="2">
        <v>6.6000000000000005</v>
      </c>
      <c r="C69" s="2">
        <f t="shared" si="12"/>
        <v>0</v>
      </c>
      <c r="D69" s="2">
        <f t="shared" si="13"/>
        <v>5.6107013525679436E-3</v>
      </c>
      <c r="E69" s="2">
        <f t="shared" si="6"/>
        <v>-1.0759718720622053E-2</v>
      </c>
      <c r="F69" s="2">
        <f t="shared" si="7"/>
        <v>-0.33664208115407662</v>
      </c>
      <c r="G69" s="2">
        <f t="shared" si="11"/>
        <v>-1.0759718720622053E-2</v>
      </c>
    </row>
    <row r="70" spans="1:7" x14ac:dyDescent="0.25">
      <c r="A70" s="2"/>
      <c r="B70" s="2">
        <v>6.7</v>
      </c>
      <c r="C70" s="2">
        <f t="shared" si="12"/>
        <v>0</v>
      </c>
      <c r="D70" s="2">
        <f t="shared" si="13"/>
        <v>2.8515190747353549E-3</v>
      </c>
      <c r="E70" s="2">
        <f t="shared" si="6"/>
        <v>-3.6146380002531953E-2</v>
      </c>
      <c r="F70" s="2">
        <f t="shared" si="7"/>
        <v>-0.1710911444841213</v>
      </c>
      <c r="G70" s="2">
        <f t="shared" si="11"/>
        <v>-3.6146380002531953E-2</v>
      </c>
    </row>
    <row r="71" spans="1:7" x14ac:dyDescent="0.25">
      <c r="A71" s="2"/>
      <c r="B71" s="2">
        <v>6.8000000000000007</v>
      </c>
      <c r="C71" s="2">
        <f t="shared" si="12"/>
        <v>0</v>
      </c>
      <c r="D71" s="2">
        <f t="shared" si="13"/>
        <v>-1.6185746479384473E-3</v>
      </c>
      <c r="E71" s="2">
        <f t="shared" si="6"/>
        <v>-3.9845213282922676E-2</v>
      </c>
      <c r="F71" s="2">
        <f t="shared" si="7"/>
        <v>9.7114478876306878E-2</v>
      </c>
      <c r="G71" s="2">
        <f t="shared" si="11"/>
        <v>-3.9845213282922676E-2</v>
      </c>
    </row>
    <row r="72" spans="1:7" x14ac:dyDescent="0.25">
      <c r="A72" s="2"/>
      <c r="B72" s="2">
        <v>6.9</v>
      </c>
      <c r="C72" s="2">
        <f t="shared" si="12"/>
        <v>0</v>
      </c>
      <c r="D72" s="2">
        <f t="shared" si="13"/>
        <v>-5.1175235818491805E-3</v>
      </c>
      <c r="E72" s="2">
        <f t="shared" si="6"/>
        <v>-1.9636918593559788E-2</v>
      </c>
      <c r="F72" s="2">
        <f t="shared" si="7"/>
        <v>0.30705141491095089</v>
      </c>
      <c r="G72" s="2">
        <f t="shared" si="11"/>
        <v>-1.9636918593559788E-2</v>
      </c>
    </row>
    <row r="73" spans="1:7" x14ac:dyDescent="0.25">
      <c r="A73" s="2"/>
      <c r="B73" s="2">
        <v>7</v>
      </c>
      <c r="C73" s="2">
        <f t="shared" si="12"/>
        <v>0</v>
      </c>
      <c r="D73" s="2">
        <f t="shared" si="13"/>
        <v>-5.5459583666504046E-3</v>
      </c>
      <c r="E73" s="2">
        <f t="shared" si="6"/>
        <v>1.2353527251938974E-2</v>
      </c>
      <c r="F73" s="2">
        <f t="shared" si="7"/>
        <v>0.33275750199902426</v>
      </c>
      <c r="G73" s="2">
        <f t="shared" si="11"/>
        <v>1.2353527251938974E-2</v>
      </c>
    </row>
    <row r="74" spans="1:7" x14ac:dyDescent="0.25">
      <c r="A74" s="2"/>
      <c r="B74" s="2">
        <v>7.1000000000000005</v>
      </c>
      <c r="C74" s="2">
        <f t="shared" si="12"/>
        <v>0</v>
      </c>
      <c r="D74" s="2">
        <f t="shared" si="13"/>
        <v>-2.6468181314613856E-3</v>
      </c>
      <c r="E74" s="2">
        <f t="shared" si="6"/>
        <v>3.6931856746274347E-2</v>
      </c>
      <c r="F74" s="2">
        <f t="shared" si="7"/>
        <v>0.15880908788768316</v>
      </c>
      <c r="G74" s="2">
        <f t="shared" si="11"/>
        <v>3.6931856746274347E-2</v>
      </c>
    </row>
    <row r="75" spans="1:7" x14ac:dyDescent="0.25">
      <c r="A75" s="2"/>
      <c r="B75" s="2">
        <v>7.2</v>
      </c>
      <c r="C75" s="2">
        <f t="shared" si="12"/>
        <v>0</v>
      </c>
      <c r="D75" s="2">
        <f t="shared" si="13"/>
        <v>1.8404129826044655E-3</v>
      </c>
      <c r="E75" s="2">
        <f t="shared" si="6"/>
        <v>3.9351072192845109E-2</v>
      </c>
      <c r="F75" s="2">
        <f t="shared" si="7"/>
        <v>-0.11042477895626794</v>
      </c>
      <c r="G75" s="2">
        <f t="shared" si="11"/>
        <v>3.9351072192845109E-2</v>
      </c>
    </row>
    <row r="76" spans="1:7" x14ac:dyDescent="0.25">
      <c r="A76" s="2"/>
      <c r="B76" s="2">
        <v>7.3000000000000007</v>
      </c>
      <c r="C76" s="2">
        <f t="shared" si="12"/>
        <v>0</v>
      </c>
      <c r="D76" s="2">
        <f t="shared" si="13"/>
        <v>5.223396307107637E-3</v>
      </c>
      <c r="E76" s="2">
        <f t="shared" si="6"/>
        <v>1.8159644323708802E-2</v>
      </c>
      <c r="F76" s="2">
        <f t="shared" si="7"/>
        <v>-0.31340377842645822</v>
      </c>
      <c r="G76" s="2">
        <f t="shared" si="11"/>
        <v>1.8159644323708802E-2</v>
      </c>
    </row>
    <row r="77" spans="1:7" x14ac:dyDescent="0.25">
      <c r="A77" s="2"/>
      <c r="B77" s="2">
        <v>7.4</v>
      </c>
      <c r="C77" s="2">
        <f t="shared" si="12"/>
        <v>0</v>
      </c>
      <c r="D77" s="2">
        <f t="shared" si="13"/>
        <v>5.4723418473462257E-3</v>
      </c>
      <c r="E77" s="2">
        <f t="shared" si="6"/>
        <v>-1.3927570139652795E-2</v>
      </c>
      <c r="F77" s="2">
        <f t="shared" si="7"/>
        <v>-0.32834051084077359</v>
      </c>
      <c r="G77" s="2">
        <f t="shared" si="11"/>
        <v>-1.3927570139652795E-2</v>
      </c>
    </row>
    <row r="78" spans="1:7" x14ac:dyDescent="0.25">
      <c r="A78" s="2"/>
      <c r="B78" s="2">
        <v>7.5</v>
      </c>
      <c r="C78" s="2">
        <f t="shared" si="12"/>
        <v>0</v>
      </c>
      <c r="D78" s="2">
        <f t="shared" si="13"/>
        <v>2.4378822791770779E-3</v>
      </c>
      <c r="E78" s="2">
        <f t="shared" si="6"/>
        <v>-3.7658242519222708E-2</v>
      </c>
      <c r="F78" s="2">
        <f t="shared" si="7"/>
        <v>-0.14627293675062464</v>
      </c>
      <c r="G78" s="2">
        <f t="shared" si="11"/>
        <v>-3.7658242519222708E-2</v>
      </c>
    </row>
    <row r="79" spans="1:7" x14ac:dyDescent="0.25">
      <c r="A79" s="2"/>
      <c r="B79" s="2">
        <v>7.6000000000000005</v>
      </c>
      <c r="C79" s="2">
        <f t="shared" si="12"/>
        <v>0</v>
      </c>
      <c r="D79" s="2">
        <f t="shared" si="13"/>
        <v>-2.0593066564983165E-3</v>
      </c>
      <c r="E79" s="2">
        <f t="shared" si="6"/>
        <v>-3.8793969387258986E-2</v>
      </c>
      <c r="F79" s="2">
        <f t="shared" si="7"/>
        <v>0.12355839938989908</v>
      </c>
      <c r="G79" s="2">
        <f t="shared" si="11"/>
        <v>-3.8793969387258986E-2</v>
      </c>
    </row>
    <row r="80" spans="1:7" x14ac:dyDescent="0.25">
      <c r="A80" s="2"/>
      <c r="B80" s="2">
        <v>7.7</v>
      </c>
      <c r="C80" s="2">
        <f t="shared" si="12"/>
        <v>0</v>
      </c>
      <c r="D80" s="2">
        <f t="shared" si="13"/>
        <v>-5.3209115982747199E-3</v>
      </c>
      <c r="E80" s="2">
        <f t="shared" si="6"/>
        <v>-1.6653314622939869E-2</v>
      </c>
      <c r="F80" s="2">
        <f t="shared" si="7"/>
        <v>0.31925469589648314</v>
      </c>
      <c r="G80" s="2">
        <f t="shared" si="11"/>
        <v>-1.6653314622939869E-2</v>
      </c>
    </row>
    <row r="81" spans="1:7" x14ac:dyDescent="0.25">
      <c r="A81" s="2"/>
      <c r="B81" s="2">
        <v>7.8000000000000007</v>
      </c>
      <c r="C81" s="2">
        <f t="shared" si="12"/>
        <v>0</v>
      </c>
      <c r="D81" s="2">
        <f t="shared" si="13"/>
        <v>-5.3899695810862907E-3</v>
      </c>
      <c r="E81" s="2">
        <f t="shared" si="6"/>
        <v>1.547932891514317E-2</v>
      </c>
      <c r="F81" s="2">
        <f t="shared" si="7"/>
        <v>0.32339817486517758</v>
      </c>
      <c r="G81" s="2">
        <f t="shared" si="11"/>
        <v>1.547932891514317E-2</v>
      </c>
    </row>
    <row r="82" spans="1:7" x14ac:dyDescent="0.25">
      <c r="A82" s="2"/>
      <c r="B82" s="2">
        <v>7.9</v>
      </c>
      <c r="C82" s="2">
        <f t="shared" si="12"/>
        <v>0</v>
      </c>
      <c r="D82" s="2">
        <f t="shared" si="13"/>
        <v>-2.2250458152460856E-3</v>
      </c>
      <c r="E82" s="2">
        <f t="shared" si="6"/>
        <v>3.8324375104140301E-2</v>
      </c>
      <c r="F82" s="2">
        <f t="shared" si="7"/>
        <v>0.13350274891476513</v>
      </c>
      <c r="G82" s="2">
        <f t="shared" si="11"/>
        <v>3.8324375104140301E-2</v>
      </c>
    </row>
    <row r="83" spans="1:7" x14ac:dyDescent="0.25">
      <c r="A83" s="2"/>
      <c r="B83" s="2">
        <v>8</v>
      </c>
      <c r="C83" s="2">
        <f t="shared" si="12"/>
        <v>0</v>
      </c>
      <c r="D83" s="2">
        <f t="shared" si="13"/>
        <v>2.274905439741771E-3</v>
      </c>
      <c r="E83" s="2">
        <f t="shared" si="6"/>
        <v>1.1125229076230427E-2</v>
      </c>
      <c r="F83" s="2">
        <f t="shared" si="7"/>
        <v>-0.67748566947296263</v>
      </c>
      <c r="G83" s="2">
        <f t="shared" si="11"/>
        <v>1.1125229076230427E-2</v>
      </c>
    </row>
  </sheetData>
  <mergeCells count="3">
    <mergeCell ref="Q4:Q6"/>
    <mergeCell ref="L1:N1"/>
    <mergeCell ref="AA1:AB1"/>
  </mergeCells>
  <dataValidations count="1">
    <dataValidation type="list" allowBlank="1" showInputMessage="1" showErrorMessage="1" sqref="AA2:AB2" xr:uid="{67ED0AD9-ABFF-4EE0-9F7C-6AF99211C7AE}">
      <formula1>$D$1:$F$1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30" r:id="rId3" name="ComboBox1">
          <controlPr defaultSize="0" autoLine="0" linkedCell="N19" listFillRange="M19:M20" r:id="rId4">
            <anchor moveWithCells="1">
              <from>
                <xdr:col>17</xdr:col>
                <xdr:colOff>9525</xdr:colOff>
                <xdr:row>3</xdr:row>
                <xdr:rowOff>85725</xdr:rowOff>
              </from>
              <to>
                <xdr:col>19</xdr:col>
                <xdr:colOff>200025</xdr:colOff>
                <xdr:row>5</xdr:row>
                <xdr:rowOff>152400</xdr:rowOff>
              </to>
            </anchor>
          </controlPr>
        </control>
      </mc:Choice>
      <mc:Fallback>
        <control shapeId="1030" r:id="rId3" name="Combo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46F9A9-5F01-4694-8BEE-541FD71BF1A9}">
  <sheetPr codeName="Sheet3"/>
  <dimension ref="A1:AB1563"/>
  <sheetViews>
    <sheetView topLeftCell="P1" workbookViewId="0">
      <selection activeCell="U12" sqref="U12"/>
    </sheetView>
  </sheetViews>
  <sheetFormatPr defaultRowHeight="15" x14ac:dyDescent="0.25"/>
  <cols>
    <col min="2" max="2" width="19.7109375" customWidth="1"/>
    <col min="4" max="4" width="13.5703125" customWidth="1"/>
    <col min="5" max="5" width="13.28515625" customWidth="1"/>
    <col min="6" max="6" width="12.7109375" bestFit="1" customWidth="1"/>
    <col min="7" max="7" width="13.5703125" customWidth="1"/>
    <col min="15" max="15" width="11.7109375" bestFit="1" customWidth="1"/>
    <col min="16" max="16" width="22.140625" customWidth="1"/>
    <col min="17" max="17" width="10.140625" customWidth="1"/>
    <col min="18" max="18" width="9.7109375" customWidth="1"/>
    <col min="25" max="25" width="19.7109375" customWidth="1"/>
  </cols>
  <sheetData>
    <row r="1" spans="1:28" x14ac:dyDescent="0.25">
      <c r="A1" s="2" t="s">
        <v>45</v>
      </c>
      <c r="B1" s="2" t="s">
        <v>63</v>
      </c>
      <c r="C1" s="2" t="s">
        <v>46</v>
      </c>
      <c r="D1" s="2" t="s">
        <v>52</v>
      </c>
      <c r="E1" s="2" t="s">
        <v>53</v>
      </c>
      <c r="F1" s="2" t="s">
        <v>60</v>
      </c>
      <c r="G1" s="2" t="str">
        <f>HLOOKUP($Y$3,$B$1:$F$1562,ROW(),0)</f>
        <v>Acceleration</v>
      </c>
      <c r="X1" s="23" t="s">
        <v>62</v>
      </c>
      <c r="Y1" s="23"/>
    </row>
    <row r="2" spans="1:28" ht="15.75" thickBot="1" x14ac:dyDescent="0.3">
      <c r="A2" s="2">
        <v>-0.02</v>
      </c>
      <c r="B2" s="2"/>
      <c r="C2" s="2"/>
      <c r="D2" s="2">
        <f>M9</f>
        <v>-1.26E-6</v>
      </c>
      <c r="E2" s="2"/>
      <c r="F2" s="2"/>
      <c r="G2" s="2">
        <f t="shared" ref="G2:G65" si="0">HLOOKUP($Y$3,$B$1:$F$1562,ROW(),0)</f>
        <v>0</v>
      </c>
      <c r="N2" s="23" t="s">
        <v>61</v>
      </c>
      <c r="O2" s="23"/>
      <c r="X2" s="24"/>
      <c r="Y2" s="24"/>
    </row>
    <row r="3" spans="1:28" ht="15.75" thickBot="1" x14ac:dyDescent="0.3">
      <c r="A3" s="18">
        <v>0</v>
      </c>
      <c r="B3" s="2">
        <v>6.3E-3</v>
      </c>
      <c r="C3" s="2">
        <f t="shared" ref="C3:C66" si="1">-$M$4*B3</f>
        <v>-1.26</v>
      </c>
      <c r="D3" s="2">
        <f>M8</f>
        <v>0</v>
      </c>
      <c r="E3" s="2">
        <f>M5</f>
        <v>0</v>
      </c>
      <c r="F3" s="2">
        <f>(D2-2*D3+D4)/($A$4^2)</f>
        <v>-6.3E-3</v>
      </c>
      <c r="G3" s="2">
        <f t="shared" si="0"/>
        <v>-6.3E-3</v>
      </c>
      <c r="N3" s="24"/>
      <c r="O3" s="24"/>
      <c r="V3" s="3"/>
      <c r="W3" s="4"/>
      <c r="X3" s="4"/>
      <c r="Y3" s="4" t="s">
        <v>60</v>
      </c>
      <c r="Z3" s="4"/>
      <c r="AA3" s="4"/>
      <c r="AB3" s="5"/>
    </row>
    <row r="4" spans="1:28" x14ac:dyDescent="0.25">
      <c r="A4" s="18">
        <v>0.02</v>
      </c>
      <c r="B4" s="2">
        <v>3.64E-3</v>
      </c>
      <c r="C4" s="2">
        <f t="shared" si="1"/>
        <v>-0.72799999999999998</v>
      </c>
      <c r="D4" s="2">
        <f t="shared" ref="D4:D67" si="2">(C3-($Q$6*D3)-($Q$7*D2))/$Q$5</f>
        <v>-1.26E-6</v>
      </c>
      <c r="E4" s="2">
        <f>(D3-D2)/(2*$A$4)</f>
        <v>3.15E-5</v>
      </c>
      <c r="F4" s="2">
        <f t="shared" ref="F4:F67" si="3">(D3-2*D4+D5)/($A$4^2)</f>
        <v>-3.6021999999999994E-3</v>
      </c>
      <c r="G4" s="2">
        <f t="shared" si="0"/>
        <v>-3.6021999999999994E-3</v>
      </c>
      <c r="L4" s="3" t="s">
        <v>0</v>
      </c>
      <c r="M4" s="4">
        <v>200</v>
      </c>
      <c r="N4" s="4" t="s">
        <v>2</v>
      </c>
      <c r="O4" s="4"/>
      <c r="P4" s="4" t="s">
        <v>41</v>
      </c>
      <c r="Q4" s="5"/>
      <c r="V4" s="6"/>
      <c r="W4" s="1"/>
      <c r="X4" s="1"/>
      <c r="Y4" s="1"/>
      <c r="Z4" s="1"/>
      <c r="AA4" s="1"/>
      <c r="AB4" s="7"/>
    </row>
    <row r="5" spans="1:28" x14ac:dyDescent="0.25">
      <c r="A5" s="18">
        <v>0.04</v>
      </c>
      <c r="B5" s="2">
        <v>9.8999999999999999E-4</v>
      </c>
      <c r="C5" s="2">
        <f t="shared" si="1"/>
        <v>-0.19800000000000001</v>
      </c>
      <c r="D5" s="2">
        <f t="shared" si="2"/>
        <v>-3.9608799999999999E-6</v>
      </c>
      <c r="E5" s="2">
        <f>(D4-D3)/(2*$A$4)</f>
        <v>-3.15E-5</v>
      </c>
      <c r="F5" s="2">
        <f t="shared" si="3"/>
        <v>-8.711735999999984E-4</v>
      </c>
      <c r="G5" s="2">
        <f t="shared" si="0"/>
        <v>-8.711735999999984E-4</v>
      </c>
      <c r="L5" s="6" t="s">
        <v>47</v>
      </c>
      <c r="M5" s="1">
        <v>0</v>
      </c>
      <c r="N5" s="1"/>
      <c r="O5" s="1"/>
      <c r="P5" s="1" t="s">
        <v>44</v>
      </c>
      <c r="Q5" s="7">
        <f>(M4/(A4^2))+(M7/(2*A4))</f>
        <v>500000</v>
      </c>
      <c r="V5" s="6"/>
      <c r="W5" s="1"/>
      <c r="X5" s="1"/>
      <c r="Y5" s="1"/>
      <c r="Z5" s="1"/>
      <c r="AA5" s="1"/>
      <c r="AB5" s="7"/>
    </row>
    <row r="6" spans="1:28" x14ac:dyDescent="0.25">
      <c r="A6" s="18">
        <v>0.06</v>
      </c>
      <c r="B6" s="2">
        <v>4.28E-3</v>
      </c>
      <c r="C6" s="2">
        <f t="shared" si="1"/>
        <v>-0.85599999999999998</v>
      </c>
      <c r="D6" s="2">
        <f t="shared" si="2"/>
        <v>-7.0102294399999995E-6</v>
      </c>
      <c r="E6" s="2">
        <f t="shared" ref="E6:E68" si="4">(D5-D4)/(2*$A$4)</f>
        <v>-6.7522000000000008E-5</v>
      </c>
      <c r="F6" s="2">
        <f t="shared" si="3"/>
        <v>-4.0696931167999995E-3</v>
      </c>
      <c r="G6" s="2">
        <f t="shared" si="0"/>
        <v>-4.0696931167999995E-3</v>
      </c>
      <c r="L6" s="6" t="s">
        <v>48</v>
      </c>
      <c r="M6" s="1">
        <v>6000</v>
      </c>
      <c r="N6" s="1"/>
      <c r="O6" s="1"/>
      <c r="P6" s="1" t="s">
        <v>42</v>
      </c>
      <c r="Q6" s="7">
        <f>M6-(2*(M4/(A4^2)))</f>
        <v>-994000</v>
      </c>
      <c r="V6" s="6"/>
      <c r="W6" s="1"/>
      <c r="X6" s="1"/>
      <c r="Y6" s="1"/>
      <c r="Z6" s="1"/>
      <c r="AA6" s="1"/>
      <c r="AB6" s="7"/>
    </row>
    <row r="7" spans="1:28" x14ac:dyDescent="0.25">
      <c r="A7" s="18">
        <v>0.08</v>
      </c>
      <c r="B7" s="2">
        <v>7.5799999999999999E-3</v>
      </c>
      <c r="C7" s="2">
        <f t="shared" si="1"/>
        <v>-1.516</v>
      </c>
      <c r="D7" s="2">
        <f t="shared" si="2"/>
        <v>-1.1687456126719999E-5</v>
      </c>
      <c r="E7" s="2">
        <f t="shared" si="4"/>
        <v>-7.6233735999999987E-5</v>
      </c>
      <c r="F7" s="2">
        <f t="shared" si="3"/>
        <v>-7.229376316198393E-3</v>
      </c>
      <c r="G7" s="2">
        <f t="shared" si="0"/>
        <v>-7.229376316198393E-3</v>
      </c>
      <c r="L7" s="6" t="s">
        <v>49</v>
      </c>
      <c r="M7" s="1">
        <v>0</v>
      </c>
      <c r="N7" s="1"/>
      <c r="O7" s="1"/>
      <c r="P7" s="1" t="s">
        <v>43</v>
      </c>
      <c r="Q7" s="7">
        <f>(M4/(A4^2))-(M7/(2*A4))</f>
        <v>500000</v>
      </c>
      <c r="V7" s="6"/>
      <c r="W7" s="1"/>
      <c r="X7" s="1"/>
      <c r="Y7" s="1"/>
      <c r="Z7" s="1"/>
      <c r="AA7" s="1"/>
      <c r="AB7" s="7"/>
    </row>
    <row r="8" spans="1:28" x14ac:dyDescent="0.25">
      <c r="A8" s="18">
        <v>0.1</v>
      </c>
      <c r="B8" s="2">
        <v>1.0869999999999999E-2</v>
      </c>
      <c r="C8" s="2">
        <f t="shared" si="1"/>
        <v>-2.1739999999999999</v>
      </c>
      <c r="D8" s="2">
        <f t="shared" si="2"/>
        <v>-1.9256433339919358E-5</v>
      </c>
      <c r="E8" s="2">
        <f t="shared" si="4"/>
        <v>-1.1693066716799998E-4</v>
      </c>
      <c r="F8" s="2">
        <f t="shared" si="3"/>
        <v>-1.0292306999802405E-2</v>
      </c>
      <c r="G8" s="2">
        <f t="shared" si="0"/>
        <v>-1.0292306999802405E-2</v>
      </c>
      <c r="L8" s="6" t="s">
        <v>50</v>
      </c>
      <c r="M8" s="1">
        <v>0</v>
      </c>
      <c r="N8" s="1"/>
      <c r="O8" s="1"/>
      <c r="P8" s="1"/>
      <c r="Q8" s="7"/>
      <c r="V8" s="6"/>
      <c r="W8" s="1"/>
      <c r="X8" s="1"/>
      <c r="Y8" s="1"/>
      <c r="Z8" s="1"/>
      <c r="AA8" s="1"/>
      <c r="AB8" s="7"/>
    </row>
    <row r="9" spans="1:28" x14ac:dyDescent="0.25">
      <c r="A9" s="18">
        <v>0.12</v>
      </c>
      <c r="B9" s="2">
        <v>6.8199999999999997E-3</v>
      </c>
      <c r="C9" s="2">
        <f t="shared" si="1"/>
        <v>-1.3639999999999999</v>
      </c>
      <c r="D9" s="2">
        <f t="shared" si="2"/>
        <v>-3.094233335303968E-5</v>
      </c>
      <c r="E9" s="2">
        <f t="shared" si="4"/>
        <v>-1.8922443032998396E-4</v>
      </c>
      <c r="F9" s="2">
        <f t="shared" si="3"/>
        <v>-5.8917299994088266E-3</v>
      </c>
      <c r="G9" s="2">
        <f t="shared" si="0"/>
        <v>-5.8917299994088266E-3</v>
      </c>
      <c r="L9" s="6" t="s">
        <v>51</v>
      </c>
      <c r="M9" s="1">
        <f>M8-(M5*$A$4)+((A4^2)/2)*M10</f>
        <v>-1.26E-6</v>
      </c>
      <c r="N9" s="1"/>
      <c r="O9" s="1"/>
      <c r="P9" s="1"/>
      <c r="Q9" s="7"/>
      <c r="V9" s="6"/>
      <c r="W9" s="1"/>
      <c r="X9" s="1"/>
      <c r="Y9" s="1"/>
      <c r="Z9" s="1"/>
      <c r="AA9" s="1"/>
      <c r="AB9" s="7"/>
    </row>
    <row r="10" spans="1:28" ht="15.75" thickBot="1" x14ac:dyDescent="0.3">
      <c r="A10" s="18">
        <v>0.14000000000000001</v>
      </c>
      <c r="B10" s="2">
        <v>2.7699999999999999E-3</v>
      </c>
      <c r="C10" s="2">
        <f t="shared" si="1"/>
        <v>-0.55399999999999994</v>
      </c>
      <c r="D10" s="2">
        <f t="shared" si="2"/>
        <v>-4.4984925365923531E-5</v>
      </c>
      <c r="E10" s="2">
        <f t="shared" si="4"/>
        <v>-2.9214750032800806E-4</v>
      </c>
      <c r="F10" s="2">
        <f t="shared" si="3"/>
        <v>-1.4204522390222889E-3</v>
      </c>
      <c r="G10" s="2">
        <f t="shared" si="0"/>
        <v>-1.4204522390222889E-3</v>
      </c>
      <c r="L10" s="8" t="s">
        <v>56</v>
      </c>
      <c r="M10" s="9">
        <f>($C$3-(M6*M8)-(M7*M5))/$M$4</f>
        <v>-6.3E-3</v>
      </c>
      <c r="N10" s="9"/>
      <c r="O10" s="9"/>
      <c r="P10" s="9"/>
      <c r="Q10" s="10"/>
      <c r="T10" t="s">
        <v>64</v>
      </c>
      <c r="V10" s="6"/>
      <c r="W10" s="1"/>
      <c r="X10" s="1"/>
      <c r="Y10" s="1"/>
      <c r="Z10" s="1"/>
      <c r="AA10" s="1"/>
      <c r="AB10" s="7"/>
    </row>
    <row r="11" spans="1:28" x14ac:dyDescent="0.25">
      <c r="A11" s="18">
        <v>0.16</v>
      </c>
      <c r="B11" s="2">
        <v>-1.2800000000000001E-3</v>
      </c>
      <c r="C11" s="2">
        <f t="shared" si="1"/>
        <v>0.25600000000000001</v>
      </c>
      <c r="D11" s="2">
        <f t="shared" si="2"/>
        <v>-5.9595698274416297E-5</v>
      </c>
      <c r="E11" s="2">
        <f t="shared" si="4"/>
        <v>-3.5106480032209625E-4</v>
      </c>
      <c r="F11" s="2">
        <f t="shared" si="3"/>
        <v>3.0678709482325093E-3</v>
      </c>
      <c r="G11" s="2">
        <f t="shared" si="0"/>
        <v>3.0678709482325093E-3</v>
      </c>
      <c r="V11" s="6"/>
      <c r="W11" s="1"/>
      <c r="X11" s="1"/>
      <c r="Y11" s="1"/>
      <c r="Z11" s="1"/>
      <c r="AA11" s="1"/>
      <c r="AB11" s="7"/>
    </row>
    <row r="12" spans="1:28" x14ac:dyDescent="0.25">
      <c r="A12" s="18">
        <v>0.18</v>
      </c>
      <c r="B12" s="2">
        <v>3.6800000000000001E-3</v>
      </c>
      <c r="C12" s="2">
        <f t="shared" si="1"/>
        <v>-0.73599999999999999</v>
      </c>
      <c r="D12" s="2">
        <f t="shared" si="2"/>
        <v>-7.2979322803616066E-5</v>
      </c>
      <c r="E12" s="2">
        <f t="shared" si="4"/>
        <v>-3.6526932271231915E-4</v>
      </c>
      <c r="F12" s="2">
        <f t="shared" si="3"/>
        <v>-1.4906203158915967E-3</v>
      </c>
      <c r="G12" s="2">
        <f t="shared" si="0"/>
        <v>-1.4906203158915967E-3</v>
      </c>
      <c r="V12" s="6"/>
      <c r="W12" s="1"/>
      <c r="X12" s="1"/>
      <c r="Y12" s="1"/>
      <c r="Z12" s="1"/>
      <c r="AA12" s="1"/>
      <c r="AB12" s="7"/>
    </row>
    <row r="13" spans="1:28" x14ac:dyDescent="0.25">
      <c r="A13" s="18">
        <v>0.2</v>
      </c>
      <c r="B13" s="2">
        <v>8.6400000000000001E-3</v>
      </c>
      <c r="C13" s="2">
        <f t="shared" si="1"/>
        <v>-1.728</v>
      </c>
      <c r="D13" s="2">
        <f t="shared" si="2"/>
        <v>-8.6959195459172467E-5</v>
      </c>
      <c r="E13" s="2">
        <f t="shared" si="4"/>
        <v>-3.3459061322999419E-4</v>
      </c>
      <c r="F13" s="2">
        <f t="shared" si="3"/>
        <v>-6.0312241362247606E-3</v>
      </c>
      <c r="G13" s="2">
        <f t="shared" si="0"/>
        <v>-6.0312241362247606E-3</v>
      </c>
      <c r="V13" s="6"/>
      <c r="W13" s="1"/>
      <c r="X13" s="1"/>
      <c r="Y13" s="1"/>
      <c r="Z13" s="1"/>
      <c r="AA13" s="1"/>
      <c r="AB13" s="7"/>
    </row>
    <row r="14" spans="1:28" x14ac:dyDescent="0.25">
      <c r="A14" s="18">
        <v>0.22</v>
      </c>
      <c r="B14" s="2">
        <v>1.3599999999999999E-2</v>
      </c>
      <c r="C14" s="2">
        <f t="shared" si="1"/>
        <v>-2.7199999999999998</v>
      </c>
      <c r="D14" s="2">
        <f t="shared" si="2"/>
        <v>-1.0335155776921877E-4</v>
      </c>
      <c r="E14" s="2">
        <f t="shared" si="4"/>
        <v>-3.4949681638891001E-4</v>
      </c>
      <c r="F14" s="2">
        <f t="shared" si="3"/>
        <v>-1.0499453266923454E-2</v>
      </c>
      <c r="G14" s="2">
        <f t="shared" si="0"/>
        <v>-1.0499453266923454E-2</v>
      </c>
      <c r="V14" s="6"/>
      <c r="W14" s="1"/>
      <c r="X14" s="1"/>
      <c r="Y14" s="1"/>
      <c r="Z14" s="1"/>
      <c r="AA14" s="1"/>
      <c r="AB14" s="7"/>
    </row>
    <row r="15" spans="1:28" x14ac:dyDescent="0.25">
      <c r="A15" s="18">
        <v>0.24</v>
      </c>
      <c r="B15" s="2">
        <v>7.2700000000000004E-3</v>
      </c>
      <c r="C15" s="2">
        <f t="shared" si="1"/>
        <v>-1.4540000000000002</v>
      </c>
      <c r="D15" s="2">
        <f t="shared" si="2"/>
        <v>-1.2394370138603446E-4</v>
      </c>
      <c r="E15" s="2">
        <f t="shared" si="4"/>
        <v>-4.0980905775115761E-4</v>
      </c>
      <c r="F15" s="2">
        <f t="shared" si="3"/>
        <v>-3.5516889584189817E-3</v>
      </c>
      <c r="G15" s="2">
        <f t="shared" si="0"/>
        <v>-3.5516889584189817E-3</v>
      </c>
      <c r="V15" s="6"/>
      <c r="W15" s="1"/>
      <c r="X15" s="1"/>
      <c r="Y15" s="1"/>
      <c r="Z15" s="1"/>
      <c r="AA15" s="1"/>
      <c r="AB15" s="7"/>
    </row>
    <row r="16" spans="1:28" x14ac:dyDescent="0.25">
      <c r="A16" s="18">
        <v>0.26</v>
      </c>
      <c r="B16" s="2">
        <v>9.3999999999999997E-4</v>
      </c>
      <c r="C16" s="2">
        <f t="shared" si="1"/>
        <v>-0.188</v>
      </c>
      <c r="D16" s="2">
        <f t="shared" si="2"/>
        <v>-1.4595652058621773E-4</v>
      </c>
      <c r="E16" s="2">
        <f t="shared" si="4"/>
        <v>-5.1480359042039214E-4</v>
      </c>
      <c r="F16" s="2">
        <f t="shared" si="3"/>
        <v>3.4386956175865798E-3</v>
      </c>
      <c r="G16" s="2">
        <f t="shared" si="0"/>
        <v>3.4386956175865798E-3</v>
      </c>
      <c r="V16" s="6"/>
      <c r="W16" s="1"/>
      <c r="X16" s="1"/>
      <c r="Y16" s="1"/>
      <c r="Z16" s="1"/>
      <c r="AA16" s="1"/>
      <c r="AB16" s="7"/>
    </row>
    <row r="17" spans="1:28" x14ac:dyDescent="0.25">
      <c r="A17" s="18">
        <v>0.28000000000000003</v>
      </c>
      <c r="B17" s="2">
        <v>4.1999999999999997E-3</v>
      </c>
      <c r="C17" s="2">
        <f t="shared" si="1"/>
        <v>-0.84</v>
      </c>
      <c r="D17" s="2">
        <f t="shared" si="2"/>
        <v>-1.6659386153936636E-4</v>
      </c>
      <c r="E17" s="2">
        <f t="shared" si="4"/>
        <v>-5.5032048000458163E-4</v>
      </c>
      <c r="F17" s="2">
        <f t="shared" si="3"/>
        <v>7.9781584618094942E-4</v>
      </c>
      <c r="G17" s="2">
        <f t="shared" si="0"/>
        <v>7.9781584618094942E-4</v>
      </c>
      <c r="V17" s="6"/>
      <c r="W17" s="1"/>
      <c r="X17" s="1"/>
      <c r="Y17" s="1"/>
      <c r="Z17" s="1"/>
      <c r="AA17" s="1"/>
      <c r="AB17" s="7"/>
    </row>
    <row r="18" spans="1:28" x14ac:dyDescent="0.25">
      <c r="A18" s="18">
        <v>0.3</v>
      </c>
      <c r="B18" s="2">
        <v>2.2100000000000002E-3</v>
      </c>
      <c r="C18" s="2">
        <f t="shared" si="1"/>
        <v>-0.44200000000000006</v>
      </c>
      <c r="D18" s="2">
        <f t="shared" si="2"/>
        <v>-1.8691207615404261E-4</v>
      </c>
      <c r="E18" s="2">
        <f t="shared" si="4"/>
        <v>-5.1593352382871586E-4</v>
      </c>
      <c r="F18" s="2">
        <f t="shared" si="3"/>
        <v>3.3973622846212425E-3</v>
      </c>
      <c r="G18" s="2">
        <f t="shared" si="0"/>
        <v>3.3973622846212425E-3</v>
      </c>
      <c r="V18" s="6"/>
      <c r="W18" s="1"/>
      <c r="X18" s="1"/>
      <c r="Y18" s="1"/>
      <c r="Z18" s="1"/>
      <c r="AA18" s="1"/>
      <c r="AB18" s="7"/>
    </row>
    <row r="19" spans="1:28" x14ac:dyDescent="0.25">
      <c r="A19" s="18">
        <v>0.32</v>
      </c>
      <c r="B19" s="2">
        <v>2.1000000000000001E-4</v>
      </c>
      <c r="C19" s="2">
        <f t="shared" si="1"/>
        <v>-4.2000000000000003E-2</v>
      </c>
      <c r="D19" s="2">
        <f t="shared" si="2"/>
        <v>-2.0587134585487037E-4</v>
      </c>
      <c r="E19" s="2">
        <f t="shared" si="4"/>
        <v>-5.0795536536690636E-4</v>
      </c>
      <c r="F19" s="2">
        <f t="shared" si="3"/>
        <v>5.9661403756461557E-3</v>
      </c>
      <c r="G19" s="2">
        <f t="shared" si="0"/>
        <v>5.9661403756461557E-3</v>
      </c>
      <c r="V19" s="6"/>
      <c r="W19" s="1"/>
      <c r="X19" s="1"/>
      <c r="Y19" s="1"/>
      <c r="Z19" s="1"/>
      <c r="AA19" s="1"/>
      <c r="AB19" s="7"/>
    </row>
    <row r="20" spans="1:28" ht="15.75" thickBot="1" x14ac:dyDescent="0.3">
      <c r="A20" s="18">
        <v>0.34</v>
      </c>
      <c r="B20" s="2">
        <v>4.4400000000000004E-3</v>
      </c>
      <c r="C20" s="2">
        <f t="shared" si="1"/>
        <v>-0.88800000000000012</v>
      </c>
      <c r="D20" s="2">
        <f t="shared" si="2"/>
        <v>-2.2244415940543967E-4</v>
      </c>
      <c r="E20" s="2">
        <f t="shared" si="4"/>
        <v>-4.7398174252069391E-4</v>
      </c>
      <c r="F20" s="2">
        <f t="shared" si="3"/>
        <v>2.2333247821631898E-3</v>
      </c>
      <c r="G20" s="2">
        <f t="shared" si="0"/>
        <v>2.2333247821631898E-3</v>
      </c>
      <c r="V20" s="8"/>
      <c r="W20" s="9"/>
      <c r="X20" s="9"/>
      <c r="Y20" s="9"/>
      <c r="Z20" s="9"/>
      <c r="AA20" s="9"/>
      <c r="AB20" s="10"/>
    </row>
    <row r="21" spans="1:28" x14ac:dyDescent="0.25">
      <c r="A21" s="18">
        <v>0.36</v>
      </c>
      <c r="B21" s="2">
        <v>8.6700000000000006E-3</v>
      </c>
      <c r="C21" s="2">
        <f t="shared" si="1"/>
        <v>-1.7340000000000002</v>
      </c>
      <c r="D21" s="2">
        <f t="shared" si="2"/>
        <v>-2.3812364304314369E-4</v>
      </c>
      <c r="E21" s="2">
        <f t="shared" si="4"/>
        <v>-4.1432033876423235E-4</v>
      </c>
      <c r="F21" s="2">
        <f t="shared" si="3"/>
        <v>-1.5262907087057096E-3</v>
      </c>
      <c r="G21" s="2">
        <f t="shared" si="0"/>
        <v>-1.5262907087057096E-3</v>
      </c>
    </row>
    <row r="22" spans="1:28" x14ac:dyDescent="0.25">
      <c r="A22" s="18">
        <v>0.38</v>
      </c>
      <c r="B22" s="2">
        <v>1.29E-2</v>
      </c>
      <c r="C22" s="2">
        <f t="shared" si="1"/>
        <v>-2.58</v>
      </c>
      <c r="D22" s="2">
        <f t="shared" si="2"/>
        <v>-2.5441364296432999E-4</v>
      </c>
      <c r="E22" s="2">
        <f t="shared" si="4"/>
        <v>-3.9198709094260045E-4</v>
      </c>
      <c r="F22" s="2">
        <f t="shared" si="3"/>
        <v>-5.2675907110702434E-3</v>
      </c>
      <c r="G22" s="2">
        <f t="shared" si="0"/>
        <v>-5.2675907110702434E-3</v>
      </c>
    </row>
    <row r="23" spans="1:28" x14ac:dyDescent="0.25">
      <c r="A23" s="18">
        <v>0.4</v>
      </c>
      <c r="B23" s="2">
        <v>1.7129999999999999E-2</v>
      </c>
      <c r="C23" s="2">
        <f t="shared" si="1"/>
        <v>-3.4259999999999997</v>
      </c>
      <c r="D23" s="2">
        <f t="shared" si="2"/>
        <v>-2.7281067916994436E-4</v>
      </c>
      <c r="E23" s="2">
        <f t="shared" si="4"/>
        <v>-4.0724999802965755E-4</v>
      </c>
      <c r="F23" s="2">
        <f t="shared" si="3"/>
        <v>-8.9456796249015799E-3</v>
      </c>
      <c r="G23" s="2">
        <f t="shared" si="0"/>
        <v>-8.9456796249015799E-3</v>
      </c>
    </row>
    <row r="24" spans="1:28" x14ac:dyDescent="0.25">
      <c r="A24" s="18">
        <v>0.42</v>
      </c>
      <c r="B24" s="2">
        <v>-3.4299999999999999E-3</v>
      </c>
      <c r="C24" s="2">
        <f t="shared" si="1"/>
        <v>0.68599999999999994</v>
      </c>
      <c r="D24" s="2">
        <f t="shared" si="2"/>
        <v>-2.9478598722551937E-4</v>
      </c>
      <c r="E24" s="2">
        <f t="shared" si="4"/>
        <v>-4.5992590514035934E-4</v>
      </c>
      <c r="F24" s="2">
        <f t="shared" si="3"/>
        <v>1.2273579616765427E-2</v>
      </c>
      <c r="G24" s="2">
        <f t="shared" si="0"/>
        <v>1.2273579616765427E-2</v>
      </c>
    </row>
    <row r="25" spans="1:28" x14ac:dyDescent="0.25">
      <c r="A25" s="18">
        <v>0.44</v>
      </c>
      <c r="B25" s="2">
        <v>-2.4E-2</v>
      </c>
      <c r="C25" s="2">
        <f t="shared" si="1"/>
        <v>4.8</v>
      </c>
      <c r="D25" s="2">
        <f t="shared" si="2"/>
        <v>-3.118518634343882E-4</v>
      </c>
      <c r="E25" s="2">
        <f t="shared" si="4"/>
        <v>-5.4938270138937513E-4</v>
      </c>
      <c r="F25" s="2">
        <f t="shared" si="3"/>
        <v>3.3355555903031686E-2</v>
      </c>
      <c r="G25" s="2">
        <f t="shared" si="0"/>
        <v>3.3355555903031686E-2</v>
      </c>
    </row>
    <row r="26" spans="1:28" x14ac:dyDescent="0.25">
      <c r="A26" s="18">
        <v>0.46</v>
      </c>
      <c r="B26" s="2">
        <v>-9.92E-3</v>
      </c>
      <c r="C26" s="2">
        <f t="shared" si="1"/>
        <v>1.984</v>
      </c>
      <c r="D26" s="2">
        <f t="shared" si="2"/>
        <v>-3.1557551728204436E-4</v>
      </c>
      <c r="E26" s="2">
        <f t="shared" si="4"/>
        <v>-4.2664690522172086E-4</v>
      </c>
      <c r="F26" s="2">
        <f t="shared" si="3"/>
        <v>1.9387265518461053E-2</v>
      </c>
      <c r="G26" s="2">
        <f t="shared" si="0"/>
        <v>1.9387265518461053E-2</v>
      </c>
    </row>
    <row r="27" spans="1:28" x14ac:dyDescent="0.25">
      <c r="A27" s="18">
        <v>0.48</v>
      </c>
      <c r="B27" s="2">
        <v>4.1599999999999996E-3</v>
      </c>
      <c r="C27" s="2">
        <f t="shared" si="1"/>
        <v>-0.83199999999999996</v>
      </c>
      <c r="D27" s="2">
        <f t="shared" si="2"/>
        <v>-3.115442649223161E-4</v>
      </c>
      <c r="E27" s="2">
        <f t="shared" si="4"/>
        <v>-9.3091346191403947E-5</v>
      </c>
      <c r="F27" s="2">
        <f t="shared" si="3"/>
        <v>5.1863279476695497E-3</v>
      </c>
      <c r="G27" s="2">
        <f t="shared" si="0"/>
        <v>5.1863279476695497E-3</v>
      </c>
    </row>
    <row r="28" spans="1:28" x14ac:dyDescent="0.25">
      <c r="A28" s="18">
        <v>0.5</v>
      </c>
      <c r="B28" s="2">
        <v>5.28E-3</v>
      </c>
      <c r="C28" s="2">
        <f t="shared" si="1"/>
        <v>-1.056</v>
      </c>
      <c r="D28" s="2">
        <f t="shared" si="2"/>
        <v>-3.0543848138352001E-4</v>
      </c>
      <c r="E28" s="2">
        <f t="shared" si="4"/>
        <v>1.007813089932066E-4</v>
      </c>
      <c r="F28" s="2">
        <f t="shared" si="3"/>
        <v>3.8831544415057436E-3</v>
      </c>
      <c r="G28" s="2">
        <f t="shared" si="0"/>
        <v>3.8831544415057436E-3</v>
      </c>
    </row>
    <row r="29" spans="1:28" x14ac:dyDescent="0.25">
      <c r="A29" s="18">
        <v>0.52</v>
      </c>
      <c r="B29" s="2">
        <v>1.653E-2</v>
      </c>
      <c r="C29" s="2">
        <f t="shared" si="1"/>
        <v>-3.306</v>
      </c>
      <c r="D29" s="2">
        <f t="shared" si="2"/>
        <v>-2.9777943606812163E-4</v>
      </c>
      <c r="E29" s="2">
        <f t="shared" si="4"/>
        <v>1.526445884699021E-4</v>
      </c>
      <c r="F29" s="2">
        <f t="shared" si="3"/>
        <v>-7.5966169179563217E-3</v>
      </c>
      <c r="G29" s="2">
        <f t="shared" si="0"/>
        <v>-7.5966169179563217E-3</v>
      </c>
    </row>
    <row r="30" spans="1:28" x14ac:dyDescent="0.25">
      <c r="A30" s="18">
        <v>0.54</v>
      </c>
      <c r="B30" s="2">
        <v>2.7789999999999999E-2</v>
      </c>
      <c r="C30" s="2">
        <f t="shared" si="1"/>
        <v>-5.5579999999999998</v>
      </c>
      <c r="D30" s="2">
        <f t="shared" si="2"/>
        <v>-2.9315903751990578E-4</v>
      </c>
      <c r="E30" s="2">
        <f t="shared" si="4"/>
        <v>1.9147613288495954E-4</v>
      </c>
      <c r="F30" s="2">
        <f t="shared" si="3"/>
        <v>-1.8995228874402723E-2</v>
      </c>
      <c r="G30" s="2">
        <f t="shared" si="0"/>
        <v>-1.8995228874402723E-2</v>
      </c>
    </row>
    <row r="31" spans="1:28" x14ac:dyDescent="0.25">
      <c r="A31" s="18">
        <v>0.56000000000000005</v>
      </c>
      <c r="B31" s="2">
        <v>3.9039999999999998E-2</v>
      </c>
      <c r="C31" s="2">
        <f t="shared" si="1"/>
        <v>-7.8079999999999998</v>
      </c>
      <c r="D31" s="2">
        <f t="shared" si="2"/>
        <v>-2.9613673052145101E-4</v>
      </c>
      <c r="E31" s="2">
        <f t="shared" si="4"/>
        <v>1.1550996370539632E-4</v>
      </c>
      <c r="F31" s="2">
        <f t="shared" si="3"/>
        <v>-3.0155898084356498E-2</v>
      </c>
      <c r="G31" s="2">
        <f t="shared" si="0"/>
        <v>-3.0155898084356498E-2</v>
      </c>
    </row>
    <row r="32" spans="1:28" x14ac:dyDescent="0.25">
      <c r="A32" s="18">
        <v>0.57999999999999996</v>
      </c>
      <c r="B32" s="2">
        <v>2.4490000000000001E-2</v>
      </c>
      <c r="C32" s="2">
        <f t="shared" si="1"/>
        <v>-4.8980000000000006</v>
      </c>
      <c r="D32" s="2">
        <f t="shared" si="2"/>
        <v>-3.1117678275673885E-4</v>
      </c>
      <c r="E32" s="2">
        <f t="shared" si="4"/>
        <v>-7.4442325038630915E-5</v>
      </c>
      <c r="F32" s="2">
        <f t="shared" si="3"/>
        <v>-1.5154696517297936E-2</v>
      </c>
      <c r="G32" s="2">
        <f t="shared" si="0"/>
        <v>-1.5154696517297936E-2</v>
      </c>
    </row>
    <row r="33" spans="1:7" x14ac:dyDescent="0.25">
      <c r="A33" s="18">
        <v>0.6</v>
      </c>
      <c r="B33" s="2">
        <v>9.9500000000000005E-3</v>
      </c>
      <c r="C33" s="2">
        <f t="shared" si="1"/>
        <v>-1.9900000000000002</v>
      </c>
      <c r="D33" s="2">
        <f t="shared" si="2"/>
        <v>-3.3227871359894586E-4</v>
      </c>
      <c r="E33" s="2">
        <f t="shared" si="4"/>
        <v>-3.7600130588219592E-4</v>
      </c>
      <c r="F33" s="2">
        <f t="shared" si="3"/>
        <v>1.8361407968478819E-5</v>
      </c>
      <c r="G33" s="2">
        <f t="shared" si="0"/>
        <v>1.8361407968478819E-5</v>
      </c>
    </row>
    <row r="34" spans="1:7" x14ac:dyDescent="0.25">
      <c r="A34" s="18">
        <v>0.62</v>
      </c>
      <c r="B34" s="2">
        <v>9.6100000000000005E-3</v>
      </c>
      <c r="C34" s="2">
        <f t="shared" si="1"/>
        <v>-1.9220000000000002</v>
      </c>
      <c r="D34" s="2">
        <f t="shared" si="2"/>
        <v>-3.5337329987796548E-4</v>
      </c>
      <c r="E34" s="2">
        <f t="shared" si="4"/>
        <v>-5.2754827105517524E-4</v>
      </c>
      <c r="F34" s="2">
        <f t="shared" si="3"/>
        <v>9.911989963388209E-4</v>
      </c>
      <c r="G34" s="2">
        <f t="shared" si="0"/>
        <v>9.911989963388209E-4</v>
      </c>
    </row>
    <row r="35" spans="1:7" x14ac:dyDescent="0.25">
      <c r="A35" s="18">
        <v>0.64</v>
      </c>
      <c r="B35" s="2">
        <v>9.2599999999999991E-3</v>
      </c>
      <c r="C35" s="2">
        <f t="shared" si="1"/>
        <v>-1.8519999999999999</v>
      </c>
      <c r="D35" s="2">
        <f t="shared" si="2"/>
        <v>-3.7407140655844958E-4</v>
      </c>
      <c r="E35" s="2">
        <f t="shared" si="4"/>
        <v>-5.273646569754905E-4</v>
      </c>
      <c r="F35" s="2">
        <f t="shared" si="3"/>
        <v>1.9621421967536048E-3</v>
      </c>
      <c r="G35" s="2">
        <f t="shared" si="0"/>
        <v>1.9621421967536048E-3</v>
      </c>
    </row>
    <row r="36" spans="1:7" x14ac:dyDescent="0.25">
      <c r="A36" s="18">
        <v>0.66</v>
      </c>
      <c r="B36" s="2">
        <v>8.9200000000000008E-3</v>
      </c>
      <c r="C36" s="2">
        <f t="shared" si="1"/>
        <v>-1.7840000000000003</v>
      </c>
      <c r="D36" s="2">
        <f t="shared" si="2"/>
        <v>-3.9398465636023223E-4</v>
      </c>
      <c r="E36" s="2">
        <f t="shared" si="4"/>
        <v>-5.1745266701210229E-4</v>
      </c>
      <c r="F36" s="2">
        <f t="shared" si="3"/>
        <v>2.8995396908068831E-3</v>
      </c>
      <c r="G36" s="2">
        <f t="shared" si="0"/>
        <v>2.8995396908068831E-3</v>
      </c>
    </row>
    <row r="37" spans="1:7" x14ac:dyDescent="0.25">
      <c r="A37" s="18">
        <v>0.68</v>
      </c>
      <c r="B37" s="2">
        <v>-4.8599999999999997E-3</v>
      </c>
      <c r="C37" s="2">
        <f t="shared" si="1"/>
        <v>0.97199999999999998</v>
      </c>
      <c r="D37" s="2">
        <f t="shared" si="2"/>
        <v>-4.1273809028569212E-4</v>
      </c>
      <c r="E37" s="2">
        <f t="shared" si="4"/>
        <v>-4.9783124504456625E-4</v>
      </c>
      <c r="F37" s="2">
        <f t="shared" si="3"/>
        <v>1.7242142708570649E-2</v>
      </c>
      <c r="G37" s="2">
        <f t="shared" si="0"/>
        <v>1.7242142708570649E-2</v>
      </c>
    </row>
    <row r="38" spans="1:7" x14ac:dyDescent="0.25">
      <c r="A38" s="18">
        <v>0.7</v>
      </c>
      <c r="B38" s="2">
        <v>-1.864E-2</v>
      </c>
      <c r="C38" s="2">
        <f t="shared" si="1"/>
        <v>3.7280000000000002</v>
      </c>
      <c r="D38" s="2">
        <f t="shared" si="2"/>
        <v>-4.2459466712772376E-4</v>
      </c>
      <c r="E38" s="2">
        <f t="shared" si="4"/>
        <v>-4.6883584813649741E-4</v>
      </c>
      <c r="F38" s="2">
        <f t="shared" si="3"/>
        <v>3.1377840013831759E-2</v>
      </c>
      <c r="G38" s="2">
        <f t="shared" si="0"/>
        <v>3.1377840013831759E-2</v>
      </c>
    </row>
    <row r="39" spans="1:7" x14ac:dyDescent="0.25">
      <c r="A39" s="18">
        <v>0.72</v>
      </c>
      <c r="B39" s="2">
        <v>-3.2419999999999997E-2</v>
      </c>
      <c r="C39" s="2">
        <f t="shared" si="1"/>
        <v>6.4839999999999991</v>
      </c>
      <c r="D39" s="2">
        <f t="shared" si="2"/>
        <v>-4.2390010796422269E-4</v>
      </c>
      <c r="E39" s="2">
        <f t="shared" si="4"/>
        <v>-2.9641442105079091E-4</v>
      </c>
      <c r="F39" s="2">
        <f t="shared" si="3"/>
        <v>4.51370032389267E-2</v>
      </c>
      <c r="G39" s="2">
        <f t="shared" si="0"/>
        <v>4.51370032389267E-2</v>
      </c>
    </row>
    <row r="40" spans="1:7" x14ac:dyDescent="0.25">
      <c r="A40" s="18">
        <v>0.74</v>
      </c>
      <c r="B40" s="2">
        <v>-3.3649999999999999E-2</v>
      </c>
      <c r="C40" s="2">
        <f t="shared" si="1"/>
        <v>6.7299999999999995</v>
      </c>
      <c r="D40" s="2">
        <f t="shared" si="2"/>
        <v>-4.0515074750515094E-4</v>
      </c>
      <c r="E40" s="2">
        <f t="shared" si="4"/>
        <v>1.7363979087526714E-5</v>
      </c>
      <c r="F40" s="2">
        <f t="shared" si="3"/>
        <v>4.5804522425154634E-2</v>
      </c>
      <c r="G40" s="2">
        <f t="shared" si="0"/>
        <v>4.5804522425154634E-2</v>
      </c>
    </row>
    <row r="41" spans="1:7" x14ac:dyDescent="0.25">
      <c r="A41" s="18">
        <v>0.76</v>
      </c>
      <c r="B41" s="2">
        <v>-5.7230000000000003E-2</v>
      </c>
      <c r="C41" s="2">
        <f t="shared" si="1"/>
        <v>11.446000000000002</v>
      </c>
      <c r="D41" s="2">
        <f t="shared" si="2"/>
        <v>-3.6807957807601734E-4</v>
      </c>
      <c r="E41" s="2">
        <f t="shared" si="4"/>
        <v>4.6873401147679375E-4</v>
      </c>
      <c r="F41" s="2">
        <f t="shared" si="3"/>
        <v>6.8272387342280721E-2</v>
      </c>
      <c r="G41" s="2">
        <f t="shared" si="0"/>
        <v>6.8272387342280721E-2</v>
      </c>
    </row>
    <row r="42" spans="1:7" x14ac:dyDescent="0.25">
      <c r="A42" s="18">
        <v>0.78</v>
      </c>
      <c r="B42" s="2">
        <v>-4.5339999999999998E-2</v>
      </c>
      <c r="C42" s="2">
        <f t="shared" si="1"/>
        <v>9.0679999999999996</v>
      </c>
      <c r="D42" s="2">
        <f t="shared" si="2"/>
        <v>-3.0369945370997144E-4</v>
      </c>
      <c r="E42" s="2">
        <f t="shared" si="4"/>
        <v>9.2677923572834003E-4</v>
      </c>
      <c r="F42" s="2">
        <f t="shared" si="3"/>
        <v>5.4450983611299027E-2</v>
      </c>
      <c r="G42" s="2">
        <f t="shared" si="0"/>
        <v>5.4450983611299027E-2</v>
      </c>
    </row>
    <row r="43" spans="1:7" x14ac:dyDescent="0.25">
      <c r="A43" s="18">
        <v>0.8</v>
      </c>
      <c r="B43" s="2">
        <v>-3.3459999999999997E-2</v>
      </c>
      <c r="C43" s="2">
        <f t="shared" si="1"/>
        <v>6.6919999999999993</v>
      </c>
      <c r="D43" s="2">
        <f t="shared" si="2"/>
        <v>-2.1753893589940594E-4</v>
      </c>
      <c r="E43" s="2">
        <f t="shared" si="4"/>
        <v>1.6095031091511473E-3</v>
      </c>
      <c r="F43" s="2">
        <f t="shared" si="3"/>
        <v>3.9986168076982312E-2</v>
      </c>
      <c r="G43" s="2">
        <f t="shared" si="0"/>
        <v>3.9986168076982312E-2</v>
      </c>
    </row>
    <row r="44" spans="1:7" x14ac:dyDescent="0.25">
      <c r="A44" s="18">
        <v>0.82</v>
      </c>
      <c r="B44" s="2">
        <v>-3.2009999999999997E-2</v>
      </c>
      <c r="C44" s="2">
        <f t="shared" si="1"/>
        <v>6.4019999999999992</v>
      </c>
      <c r="D44" s="2">
        <f t="shared" si="2"/>
        <v>-1.1538395085804751E-4</v>
      </c>
      <c r="E44" s="2">
        <f t="shared" si="4"/>
        <v>2.1540129452641377E-3</v>
      </c>
      <c r="F44" s="2">
        <f t="shared" si="3"/>
        <v>3.5471518525741444E-2</v>
      </c>
      <c r="G44" s="2">
        <f t="shared" si="0"/>
        <v>3.5471518525741444E-2</v>
      </c>
    </row>
    <row r="45" spans="1:7" x14ac:dyDescent="0.25">
      <c r="A45" s="18">
        <v>0.84</v>
      </c>
      <c r="B45" s="2">
        <v>-3.056E-2</v>
      </c>
      <c r="C45" s="2">
        <f t="shared" si="1"/>
        <v>6.1120000000000001</v>
      </c>
      <c r="D45" s="2">
        <f t="shared" si="2"/>
        <v>9.5964159360750038E-7</v>
      </c>
      <c r="E45" s="2">
        <f t="shared" si="4"/>
        <v>2.5538746260339606E-3</v>
      </c>
      <c r="F45" s="2">
        <f t="shared" si="3"/>
        <v>3.0531210752191822E-2</v>
      </c>
      <c r="G45" s="2">
        <f t="shared" si="0"/>
        <v>3.0531210752191822E-2</v>
      </c>
    </row>
    <row r="46" spans="1:7" x14ac:dyDescent="0.25">
      <c r="A46" s="18">
        <v>0.86</v>
      </c>
      <c r="B46" s="2">
        <v>-2.911E-2</v>
      </c>
      <c r="C46" s="2">
        <f t="shared" si="1"/>
        <v>5.8220000000000001</v>
      </c>
      <c r="D46" s="2">
        <f t="shared" si="2"/>
        <v>1.2951571834613924E-4</v>
      </c>
      <c r="E46" s="2">
        <f t="shared" si="4"/>
        <v>2.9085898112913748E-3</v>
      </c>
      <c r="F46" s="2">
        <f t="shared" si="3"/>
        <v>2.5224528449615893E-2</v>
      </c>
      <c r="G46" s="2">
        <f t="shared" si="0"/>
        <v>2.5224528449615893E-2</v>
      </c>
    </row>
    <row r="47" spans="1:7" x14ac:dyDescent="0.25">
      <c r="A47" s="18">
        <v>0.88</v>
      </c>
      <c r="B47" s="2">
        <v>-2.7660000000000001E-2</v>
      </c>
      <c r="C47" s="2">
        <f t="shared" si="1"/>
        <v>5.532</v>
      </c>
      <c r="D47" s="2">
        <f t="shared" si="2"/>
        <v>2.6816160647851736E-4</v>
      </c>
      <c r="E47" s="2">
        <f t="shared" si="4"/>
        <v>3.2139019188132932E-3</v>
      </c>
      <c r="F47" s="2">
        <f t="shared" si="3"/>
        <v>1.9615151805644451E-2</v>
      </c>
      <c r="G47" s="2">
        <f t="shared" si="0"/>
        <v>1.9615151805644451E-2</v>
      </c>
    </row>
    <row r="48" spans="1:7" x14ac:dyDescent="0.25">
      <c r="A48" s="18">
        <v>0.9</v>
      </c>
      <c r="B48" s="2">
        <v>-4.1160000000000002E-2</v>
      </c>
      <c r="C48" s="2">
        <f t="shared" si="1"/>
        <v>8.2320000000000011</v>
      </c>
      <c r="D48" s="2">
        <f t="shared" si="2"/>
        <v>4.1465355533315323E-4</v>
      </c>
      <c r="E48" s="2">
        <f t="shared" si="4"/>
        <v>3.4661472033094528E-3</v>
      </c>
      <c r="F48" s="2">
        <f t="shared" si="3"/>
        <v>2.872039334000584E-2</v>
      </c>
      <c r="G48" s="2">
        <f t="shared" si="0"/>
        <v>2.872039334000584E-2</v>
      </c>
    </row>
    <row r="49" spans="1:7" x14ac:dyDescent="0.25">
      <c r="A49" s="18">
        <v>0.92</v>
      </c>
      <c r="B49" s="2">
        <v>-5.466E-2</v>
      </c>
      <c r="C49" s="2">
        <f t="shared" si="1"/>
        <v>10.932</v>
      </c>
      <c r="D49" s="2">
        <f t="shared" si="2"/>
        <v>5.7263366152379138E-4</v>
      </c>
      <c r="E49" s="2">
        <f t="shared" si="4"/>
        <v>3.6622987213658967E-3</v>
      </c>
      <c r="F49" s="2">
        <f t="shared" si="3"/>
        <v>3.7480990154286201E-2</v>
      </c>
      <c r="G49" s="2">
        <f t="shared" si="0"/>
        <v>3.7480990154286201E-2</v>
      </c>
    </row>
    <row r="50" spans="1:7" x14ac:dyDescent="0.25">
      <c r="A50" s="18">
        <v>0.94</v>
      </c>
      <c r="B50" s="2">
        <v>-6.8159999999999998E-2</v>
      </c>
      <c r="C50" s="2">
        <f t="shared" si="1"/>
        <v>13.632</v>
      </c>
      <c r="D50" s="2">
        <f t="shared" si="2"/>
        <v>7.4560616377614402E-4</v>
      </c>
      <c r="E50" s="2">
        <f t="shared" si="4"/>
        <v>3.9495026547659538E-3</v>
      </c>
      <c r="F50" s="2">
        <f t="shared" si="3"/>
        <v>4.579181508671535E-2</v>
      </c>
      <c r="G50" s="2">
        <f t="shared" si="0"/>
        <v>4.579181508671535E-2</v>
      </c>
    </row>
    <row r="51" spans="1:7" x14ac:dyDescent="0.25">
      <c r="A51" s="18">
        <v>0.96</v>
      </c>
      <c r="B51" s="2">
        <v>-8.1659999999999996E-2</v>
      </c>
      <c r="C51" s="2">
        <f t="shared" si="1"/>
        <v>16.332000000000001</v>
      </c>
      <c r="D51" s="2">
        <f t="shared" si="2"/>
        <v>9.3689539206318279E-4</v>
      </c>
      <c r="E51" s="2">
        <f t="shared" si="4"/>
        <v>4.3243125563088161E-3</v>
      </c>
      <c r="F51" s="2">
        <f t="shared" si="3"/>
        <v>5.3553138238104356E-2</v>
      </c>
      <c r="G51" s="2">
        <f t="shared" si="0"/>
        <v>5.3553138238104356E-2</v>
      </c>
    </row>
    <row r="52" spans="1:7" x14ac:dyDescent="0.25">
      <c r="A52" s="18">
        <v>0.98</v>
      </c>
      <c r="B52" s="2">
        <v>-6.8459999999999993E-2</v>
      </c>
      <c r="C52" s="2">
        <f t="shared" si="1"/>
        <v>13.691999999999998</v>
      </c>
      <c r="D52" s="2">
        <f t="shared" si="2"/>
        <v>1.1496058756454634E-3</v>
      </c>
      <c r="E52" s="2">
        <f t="shared" si="4"/>
        <v>4.782230707175969E-3</v>
      </c>
      <c r="F52" s="2">
        <f t="shared" si="3"/>
        <v>3.3971823730635717E-2</v>
      </c>
      <c r="G52" s="2">
        <f t="shared" si="0"/>
        <v>3.3971823730635717E-2</v>
      </c>
    </row>
    <row r="53" spans="1:7" x14ac:dyDescent="0.25">
      <c r="A53" s="18">
        <v>1</v>
      </c>
      <c r="B53" s="2">
        <v>-5.527E-2</v>
      </c>
      <c r="C53" s="2">
        <f t="shared" si="1"/>
        <v>11.054</v>
      </c>
      <c r="D53" s="2">
        <f t="shared" si="2"/>
        <v>1.3759050887199983E-3</v>
      </c>
      <c r="E53" s="2">
        <f t="shared" si="4"/>
        <v>5.3177620895570156E-3</v>
      </c>
      <c r="F53" s="2">
        <f t="shared" si="3"/>
        <v>1.3992847338400938E-2</v>
      </c>
      <c r="G53" s="2">
        <f t="shared" si="0"/>
        <v>1.3992847338400938E-2</v>
      </c>
    </row>
    <row r="54" spans="1:7" x14ac:dyDescent="0.25">
      <c r="A54" s="18">
        <v>1.02</v>
      </c>
      <c r="B54" s="2">
        <v>-4.2079999999999999E-2</v>
      </c>
      <c r="C54" s="2">
        <f t="shared" si="1"/>
        <v>8.4160000000000004</v>
      </c>
      <c r="D54" s="2">
        <f t="shared" si="2"/>
        <v>1.6078014407298936E-3</v>
      </c>
      <c r="E54" s="2">
        <f t="shared" si="4"/>
        <v>5.6574803268633726E-3</v>
      </c>
      <c r="F54" s="2">
        <f t="shared" si="3"/>
        <v>-6.154043221896408E-3</v>
      </c>
      <c r="G54" s="2">
        <f t="shared" si="0"/>
        <v>-6.154043221896408E-3</v>
      </c>
    </row>
    <row r="55" spans="1:7" x14ac:dyDescent="0.25">
      <c r="A55" s="18">
        <v>1.04</v>
      </c>
      <c r="B55" s="2">
        <v>-4.2590000000000003E-2</v>
      </c>
      <c r="C55" s="2">
        <f t="shared" si="1"/>
        <v>8.5180000000000007</v>
      </c>
      <c r="D55" s="2">
        <f t="shared" si="2"/>
        <v>1.8372361754510303E-3</v>
      </c>
      <c r="E55" s="2">
        <f t="shared" si="4"/>
        <v>5.7974088002473818E-3</v>
      </c>
      <c r="F55" s="2">
        <f t="shared" si="3"/>
        <v>-1.2527085263530201E-2</v>
      </c>
      <c r="G55" s="2">
        <f t="shared" si="0"/>
        <v>-1.2527085263530201E-2</v>
      </c>
    </row>
    <row r="56" spans="1:7" x14ac:dyDescent="0.25">
      <c r="A56" s="18">
        <v>1.06</v>
      </c>
      <c r="B56" s="2">
        <v>-4.3110000000000002E-2</v>
      </c>
      <c r="C56" s="2">
        <f t="shared" si="1"/>
        <v>8.6219999999999999</v>
      </c>
      <c r="D56" s="2">
        <f t="shared" si="2"/>
        <v>2.0616600760667552E-3</v>
      </c>
      <c r="E56" s="2">
        <f t="shared" si="4"/>
        <v>5.7358683680284184E-3</v>
      </c>
      <c r="F56" s="2">
        <f t="shared" si="3"/>
        <v>-1.8739802282002588E-2</v>
      </c>
      <c r="G56" s="2">
        <f t="shared" si="0"/>
        <v>-1.8739802282002588E-2</v>
      </c>
    </row>
    <row r="57" spans="1:7" x14ac:dyDescent="0.25">
      <c r="A57" s="18">
        <v>1.08</v>
      </c>
      <c r="B57" s="2">
        <v>-2.4279999999999999E-2</v>
      </c>
      <c r="C57" s="2">
        <f t="shared" si="1"/>
        <v>4.8559999999999999</v>
      </c>
      <c r="D57" s="2">
        <f t="shared" si="2"/>
        <v>2.278588055769679E-3</v>
      </c>
      <c r="E57" s="2">
        <f t="shared" si="4"/>
        <v>5.6105975153931216E-3</v>
      </c>
      <c r="F57" s="2">
        <f t="shared" si="3"/>
        <v>-4.4077641673090751E-2</v>
      </c>
      <c r="G57" s="2">
        <f t="shared" si="0"/>
        <v>-4.4077641673090751E-2</v>
      </c>
    </row>
    <row r="58" spans="1:7" x14ac:dyDescent="0.25">
      <c r="A58" s="18">
        <v>1.1000000000000001</v>
      </c>
      <c r="B58" s="2">
        <v>-5.45E-3</v>
      </c>
      <c r="C58" s="2">
        <f t="shared" si="1"/>
        <v>1.0900000000000001</v>
      </c>
      <c r="D58" s="2">
        <f t="shared" si="2"/>
        <v>2.4778849788033666E-3</v>
      </c>
      <c r="E58" s="2">
        <f t="shared" si="4"/>
        <v>5.4231994925730952E-3</v>
      </c>
      <c r="F58" s="2">
        <f t="shared" si="3"/>
        <v>-6.8886549364101504E-2</v>
      </c>
      <c r="G58" s="2">
        <f t="shared" si="0"/>
        <v>-6.8886549364101504E-2</v>
      </c>
    </row>
    <row r="59" spans="1:7" x14ac:dyDescent="0.25">
      <c r="A59" s="18">
        <v>1.1200000000000001</v>
      </c>
      <c r="B59" s="2">
        <v>1.338E-2</v>
      </c>
      <c r="C59" s="2">
        <f t="shared" si="1"/>
        <v>-2.6759999999999997</v>
      </c>
      <c r="D59" s="2">
        <f t="shared" si="2"/>
        <v>2.6496272820914135E-3</v>
      </c>
      <c r="E59" s="2">
        <f t="shared" si="4"/>
        <v>4.9824230758421881E-3</v>
      </c>
      <c r="F59" s="2">
        <f t="shared" si="3"/>
        <v>-9.2868818462743391E-2</v>
      </c>
      <c r="G59" s="2">
        <f t="shared" si="0"/>
        <v>-9.2868818462743391E-2</v>
      </c>
    </row>
    <row r="60" spans="1:7" x14ac:dyDescent="0.25">
      <c r="A60" s="18">
        <v>1.1399999999999999</v>
      </c>
      <c r="B60" s="2">
        <v>3.2210000000000003E-2</v>
      </c>
      <c r="C60" s="2">
        <f t="shared" si="1"/>
        <v>-6.4420000000000002</v>
      </c>
      <c r="D60" s="2">
        <f t="shared" si="2"/>
        <v>2.784222057994363E-3</v>
      </c>
      <c r="E60" s="2">
        <f t="shared" si="4"/>
        <v>4.2935575822011726E-3</v>
      </c>
      <c r="F60" s="2">
        <f t="shared" si="3"/>
        <v>-0.1157366617398313</v>
      </c>
      <c r="G60" s="2">
        <f t="shared" si="0"/>
        <v>-0.1157366617398313</v>
      </c>
    </row>
    <row r="61" spans="1:7" x14ac:dyDescent="0.25">
      <c r="A61" s="18">
        <v>1.1599999999999999</v>
      </c>
      <c r="B61" s="2">
        <v>5.1040000000000002E-2</v>
      </c>
      <c r="C61" s="2">
        <f t="shared" si="1"/>
        <v>-10.208</v>
      </c>
      <c r="D61" s="2">
        <f t="shared" si="2"/>
        <v>2.8725221692013801E-3</v>
      </c>
      <c r="E61" s="2">
        <f t="shared" si="4"/>
        <v>3.3648693975737391E-3</v>
      </c>
      <c r="F61" s="2">
        <f t="shared" si="3"/>
        <v>-0.13721566507604133</v>
      </c>
      <c r="G61" s="2">
        <f t="shared" si="0"/>
        <v>-0.13721566507604133</v>
      </c>
    </row>
    <row r="62" spans="1:7" x14ac:dyDescent="0.25">
      <c r="A62" s="18">
        <v>1.18</v>
      </c>
      <c r="B62" s="2">
        <v>6.9870000000000002E-2</v>
      </c>
      <c r="C62" s="2">
        <f t="shared" si="1"/>
        <v>-13.974</v>
      </c>
      <c r="D62" s="2">
        <f t="shared" si="2"/>
        <v>2.9059360143779806E-3</v>
      </c>
      <c r="E62" s="2">
        <f t="shared" si="4"/>
        <v>2.2075027801754261E-3</v>
      </c>
      <c r="F62" s="2">
        <f t="shared" si="3"/>
        <v>-0.15704808043133989</v>
      </c>
      <c r="G62" s="2">
        <f t="shared" si="0"/>
        <v>-0.15704808043133989</v>
      </c>
    </row>
    <row r="63" spans="1:7" x14ac:dyDescent="0.25">
      <c r="A63" s="18">
        <v>1.2</v>
      </c>
      <c r="B63" s="2">
        <v>8.8700000000000001E-2</v>
      </c>
      <c r="C63" s="2">
        <f t="shared" si="1"/>
        <v>-17.740000000000002</v>
      </c>
      <c r="D63" s="2">
        <f t="shared" si="2"/>
        <v>2.8765306273820452E-3</v>
      </c>
      <c r="E63" s="2">
        <f t="shared" si="4"/>
        <v>8.3534612941501283E-4</v>
      </c>
      <c r="F63" s="2">
        <f t="shared" si="3"/>
        <v>-0.17499591882145971</v>
      </c>
      <c r="G63" s="2">
        <f t="shared" si="0"/>
        <v>-0.17499591882145971</v>
      </c>
    </row>
    <row r="64" spans="1:7" x14ac:dyDescent="0.25">
      <c r="A64" s="18">
        <v>1.22</v>
      </c>
      <c r="B64" s="2">
        <v>4.5240000000000002E-2</v>
      </c>
      <c r="C64" s="2">
        <f t="shared" si="1"/>
        <v>-9.048</v>
      </c>
      <c r="D64" s="2">
        <f t="shared" si="2"/>
        <v>2.7771268728575258E-3</v>
      </c>
      <c r="E64" s="2">
        <f t="shared" si="4"/>
        <v>-7.3513467489838601E-4</v>
      </c>
      <c r="F64" s="2">
        <f t="shared" si="3"/>
        <v>-0.12855380618572451</v>
      </c>
      <c r="G64" s="2">
        <f t="shared" si="0"/>
        <v>-0.12855380618572451</v>
      </c>
    </row>
    <row r="65" spans="1:7" x14ac:dyDescent="0.25">
      <c r="A65" s="18">
        <v>1.24</v>
      </c>
      <c r="B65" s="2">
        <v>1.7899999999999999E-3</v>
      </c>
      <c r="C65" s="2">
        <f t="shared" si="1"/>
        <v>-0.35799999999999998</v>
      </c>
      <c r="D65" s="2">
        <f t="shared" si="2"/>
        <v>2.6263015958587167E-3</v>
      </c>
      <c r="E65" s="2">
        <f t="shared" si="4"/>
        <v>-2.4850938631129833E-3</v>
      </c>
      <c r="F65" s="2">
        <f t="shared" si="3"/>
        <v>-8.0579047875763574E-2</v>
      </c>
      <c r="G65" s="2">
        <f t="shared" si="0"/>
        <v>-8.0579047875763574E-2</v>
      </c>
    </row>
    <row r="66" spans="1:7" x14ac:dyDescent="0.25">
      <c r="A66" s="18">
        <v>1.26</v>
      </c>
      <c r="B66" s="2">
        <v>-4.1669999999999999E-2</v>
      </c>
      <c r="C66" s="2">
        <f t="shared" si="1"/>
        <v>8.3339999999999996</v>
      </c>
      <c r="D66" s="2">
        <f t="shared" si="2"/>
        <v>2.4432446997096021E-3</v>
      </c>
      <c r="E66" s="2">
        <f t="shared" si="4"/>
        <v>-3.7706319249702284E-3</v>
      </c>
      <c r="F66" s="2">
        <f t="shared" si="3"/>
        <v>-3.1627340991289457E-2</v>
      </c>
      <c r="G66" s="2">
        <f t="shared" ref="G66:G129" si="5">HLOOKUP($Y$3,$B$1:$F$1562,ROW(),0)</f>
        <v>-3.1627340991289457E-2</v>
      </c>
    </row>
    <row r="67" spans="1:7" x14ac:dyDescent="0.25">
      <c r="A67" s="18">
        <v>1.28</v>
      </c>
      <c r="B67" s="2">
        <v>-8.5129999999999997E-2</v>
      </c>
      <c r="C67" s="2">
        <f t="shared" ref="C67:C130" si="6">-$M$4*B67</f>
        <v>17.026</v>
      </c>
      <c r="D67" s="2">
        <f t="shared" si="2"/>
        <v>2.2475368671639718E-3</v>
      </c>
      <c r="E67" s="2">
        <f t="shared" si="4"/>
        <v>-4.5764224037278638E-3</v>
      </c>
      <c r="F67" s="2">
        <f t="shared" si="3"/>
        <v>1.7703893985080179E-2</v>
      </c>
      <c r="G67" s="2">
        <f t="shared" si="5"/>
        <v>1.7703893985080179E-2</v>
      </c>
    </row>
    <row r="68" spans="1:7" x14ac:dyDescent="0.25">
      <c r="A68" s="18">
        <v>1.3</v>
      </c>
      <c r="B68" s="2">
        <v>-0.12858</v>
      </c>
      <c r="C68" s="2">
        <f t="shared" si="6"/>
        <v>25.716000000000001</v>
      </c>
      <c r="D68" s="2">
        <f t="shared" ref="D68:D131" si="7">(C67-($Q$6*D67)-($Q$7*D66))/$Q$5</f>
        <v>2.0589105922123735E-3</v>
      </c>
      <c r="E68" s="2">
        <f t="shared" si="4"/>
        <v>-4.8926958136407588E-3</v>
      </c>
      <c r="F68" s="2">
        <f t="shared" ref="F68:F131" si="8">(D67-2*D68+D69)/($A$4^2)</f>
        <v>6.6812682233629253E-2</v>
      </c>
      <c r="G68" s="2">
        <f t="shared" si="5"/>
        <v>6.6812682233629253E-2</v>
      </c>
    </row>
    <row r="69" spans="1:7" x14ac:dyDescent="0.25">
      <c r="A69" s="18">
        <v>1.32</v>
      </c>
      <c r="B69" s="2">
        <v>-0.17204</v>
      </c>
      <c r="C69" s="2">
        <f t="shared" si="6"/>
        <v>34.408000000000001</v>
      </c>
      <c r="D69" s="2">
        <f t="shared" si="7"/>
        <v>1.8970093901542269E-3</v>
      </c>
      <c r="E69" s="2">
        <f t="shared" ref="E69:E132" si="9">(D68-D67)/(2*$A$4)</f>
        <v>-4.7156568737899566E-3</v>
      </c>
      <c r="F69" s="2">
        <f t="shared" si="8"/>
        <v>0.1151297182953718</v>
      </c>
      <c r="G69" s="2">
        <f t="shared" si="5"/>
        <v>0.1151297182953718</v>
      </c>
    </row>
    <row r="70" spans="1:7" x14ac:dyDescent="0.25">
      <c r="A70" s="18">
        <v>1.34</v>
      </c>
      <c r="B70" s="2">
        <v>-0.12908</v>
      </c>
      <c r="C70" s="2">
        <f t="shared" si="6"/>
        <v>25.815999999999999</v>
      </c>
      <c r="D70" s="2">
        <f t="shared" si="7"/>
        <v>1.7811600754142291E-3</v>
      </c>
      <c r="E70" s="2">
        <f t="shared" si="9"/>
        <v>-4.047530051453664E-3</v>
      </c>
      <c r="F70" s="2">
        <f t="shared" si="8"/>
        <v>7.564519773757343E-2</v>
      </c>
      <c r="G70" s="2">
        <f t="shared" si="5"/>
        <v>7.564519773757343E-2</v>
      </c>
    </row>
    <row r="71" spans="1:7" x14ac:dyDescent="0.25">
      <c r="A71" s="18">
        <v>1.36</v>
      </c>
      <c r="B71" s="2">
        <v>-8.6129999999999998E-2</v>
      </c>
      <c r="C71" s="2">
        <f t="shared" si="6"/>
        <v>17.225999999999999</v>
      </c>
      <c r="D71" s="2">
        <f t="shared" si="7"/>
        <v>1.6955688397692606E-3</v>
      </c>
      <c r="E71" s="2">
        <f t="shared" si="9"/>
        <v>-2.8962328684999463E-3</v>
      </c>
      <c r="F71" s="2">
        <f t="shared" si="8"/>
        <v>3.5262934806921747E-2</v>
      </c>
      <c r="G71" s="2">
        <f t="shared" si="5"/>
        <v>3.5262934806921747E-2</v>
      </c>
    </row>
    <row r="72" spans="1:7" x14ac:dyDescent="0.25">
      <c r="A72" s="18">
        <v>1.38</v>
      </c>
      <c r="B72" s="2">
        <v>-8.9020000000000002E-2</v>
      </c>
      <c r="C72" s="2">
        <f t="shared" si="6"/>
        <v>17.804000000000002</v>
      </c>
      <c r="D72" s="2">
        <f t="shared" si="7"/>
        <v>1.6240827780470608E-3</v>
      </c>
      <c r="E72" s="2">
        <f t="shared" si="9"/>
        <v>-2.1397808911242117E-3</v>
      </c>
      <c r="F72" s="2">
        <f t="shared" si="8"/>
        <v>4.0297516658588536E-2</v>
      </c>
      <c r="G72" s="2">
        <f t="shared" si="5"/>
        <v>4.0297516658588536E-2</v>
      </c>
    </row>
    <row r="73" spans="1:7" x14ac:dyDescent="0.25">
      <c r="A73" s="18">
        <v>1.4</v>
      </c>
      <c r="B73" s="2">
        <v>-9.1920000000000002E-2</v>
      </c>
      <c r="C73" s="2">
        <f t="shared" si="6"/>
        <v>18.384</v>
      </c>
      <c r="D73" s="2">
        <f t="shared" si="7"/>
        <v>1.5687157229882964E-3</v>
      </c>
      <c r="E73" s="2">
        <f t="shared" si="9"/>
        <v>-1.7871515430549945E-3</v>
      </c>
      <c r="F73" s="2">
        <f t="shared" si="8"/>
        <v>4.4858528310351024E-2</v>
      </c>
      <c r="G73" s="2">
        <f t="shared" si="5"/>
        <v>4.4858528310351024E-2</v>
      </c>
    </row>
    <row r="74" spans="1:7" x14ac:dyDescent="0.25">
      <c r="A74" s="18">
        <v>1.42</v>
      </c>
      <c r="B74" s="2">
        <v>-9.4820000000000002E-2</v>
      </c>
      <c r="C74" s="2">
        <f t="shared" si="6"/>
        <v>18.963999999999999</v>
      </c>
      <c r="D74" s="2">
        <f t="shared" si="7"/>
        <v>1.5312920792536725E-3</v>
      </c>
      <c r="E74" s="2">
        <f t="shared" si="9"/>
        <v>-1.3841763764691091E-3</v>
      </c>
      <c r="F74" s="2">
        <f t="shared" si="8"/>
        <v>4.8881237622389398E-2</v>
      </c>
      <c r="G74" s="2">
        <f t="shared" si="5"/>
        <v>4.8881237622389398E-2</v>
      </c>
    </row>
    <row r="75" spans="1:7" x14ac:dyDescent="0.25">
      <c r="A75" s="18">
        <v>1.44</v>
      </c>
      <c r="B75" s="2">
        <v>-9.3240000000000003E-2</v>
      </c>
      <c r="C75" s="2">
        <f t="shared" si="6"/>
        <v>18.648</v>
      </c>
      <c r="D75" s="2">
        <f t="shared" si="7"/>
        <v>1.5134209305680043E-3</v>
      </c>
      <c r="E75" s="2">
        <f t="shared" si="9"/>
        <v>-9.3559109336559883E-4</v>
      </c>
      <c r="F75" s="2">
        <f t="shared" si="8"/>
        <v>4.7837372082959392E-2</v>
      </c>
      <c r="G75" s="2">
        <f t="shared" si="5"/>
        <v>4.7837372082959392E-2</v>
      </c>
    </row>
    <row r="76" spans="1:7" x14ac:dyDescent="0.25">
      <c r="A76" s="18">
        <v>1.46</v>
      </c>
      <c r="B76" s="2">
        <v>-9.1660000000000005E-2</v>
      </c>
      <c r="C76" s="2">
        <f t="shared" si="6"/>
        <v>18.332000000000001</v>
      </c>
      <c r="D76" s="2">
        <f t="shared" si="7"/>
        <v>1.5146847307155199E-3</v>
      </c>
      <c r="E76" s="2">
        <f t="shared" si="9"/>
        <v>-4.4677871714170485E-4</v>
      </c>
      <c r="F76" s="2">
        <f t="shared" si="8"/>
        <v>4.6219458078534316E-2</v>
      </c>
      <c r="G76" s="2">
        <f t="shared" si="5"/>
        <v>4.6219458078534316E-2</v>
      </c>
    </row>
    <row r="77" spans="1:7" x14ac:dyDescent="0.25">
      <c r="A77" s="18">
        <v>1.48</v>
      </c>
      <c r="B77" s="2">
        <v>-9.4780000000000003E-2</v>
      </c>
      <c r="C77" s="2">
        <f t="shared" si="6"/>
        <v>18.956</v>
      </c>
      <c r="D77" s="2">
        <f t="shared" si="7"/>
        <v>1.5344363140944492E-3</v>
      </c>
      <c r="E77" s="2">
        <f t="shared" si="9"/>
        <v>3.1595003687889117E-5</v>
      </c>
      <c r="F77" s="2">
        <f t="shared" si="8"/>
        <v>4.8746910577165653E-2</v>
      </c>
      <c r="G77" s="2">
        <f t="shared" si="5"/>
        <v>4.8746910577165653E-2</v>
      </c>
    </row>
    <row r="78" spans="1:7" x14ac:dyDescent="0.25">
      <c r="A78" s="18">
        <v>1.5</v>
      </c>
      <c r="B78" s="2">
        <v>-9.7890000000000005E-2</v>
      </c>
      <c r="C78" s="2">
        <f t="shared" si="6"/>
        <v>19.577999999999999</v>
      </c>
      <c r="D78" s="2">
        <f t="shared" si="7"/>
        <v>1.5736866617042447E-3</v>
      </c>
      <c r="E78" s="2">
        <f t="shared" si="9"/>
        <v>4.937895844732323E-4</v>
      </c>
      <c r="F78" s="2">
        <f t="shared" si="8"/>
        <v>5.0679400148872567E-2</v>
      </c>
      <c r="G78" s="2">
        <f t="shared" si="5"/>
        <v>5.0679400148872567E-2</v>
      </c>
    </row>
    <row r="79" spans="1:7" x14ac:dyDescent="0.25">
      <c r="A79" s="18">
        <v>1.52</v>
      </c>
      <c r="B79" s="2">
        <v>-0.12902</v>
      </c>
      <c r="C79" s="2">
        <f t="shared" si="6"/>
        <v>25.803999999999998</v>
      </c>
      <c r="D79" s="2">
        <f t="shared" si="7"/>
        <v>1.6332087693735893E-3</v>
      </c>
      <c r="E79" s="2">
        <f t="shared" si="9"/>
        <v>9.8125869024488885E-4</v>
      </c>
      <c r="F79" s="2">
        <f t="shared" si="8"/>
        <v>8.0023736918793151E-2</v>
      </c>
      <c r="G79" s="2">
        <f t="shared" si="5"/>
        <v>8.0023736918793151E-2</v>
      </c>
    </row>
    <row r="80" spans="1:7" x14ac:dyDescent="0.25">
      <c r="A80" s="18">
        <v>1.54</v>
      </c>
      <c r="B80" s="2">
        <v>-7.6520000000000005E-2</v>
      </c>
      <c r="C80" s="2">
        <f t="shared" si="6"/>
        <v>15.304</v>
      </c>
      <c r="D80" s="2">
        <f t="shared" si="7"/>
        <v>1.7247403718104511E-3</v>
      </c>
      <c r="E80" s="2">
        <f t="shared" si="9"/>
        <v>1.4880526917336145E-3</v>
      </c>
      <c r="F80" s="2">
        <f t="shared" si="8"/>
        <v>2.4777788845686276E-2</v>
      </c>
      <c r="G80" s="2">
        <f t="shared" si="5"/>
        <v>2.4777788845686276E-2</v>
      </c>
    </row>
    <row r="81" spans="1:7" x14ac:dyDescent="0.25">
      <c r="A81" s="18">
        <v>1.56</v>
      </c>
      <c r="B81" s="2">
        <v>-2.401E-2</v>
      </c>
      <c r="C81" s="2">
        <f t="shared" si="6"/>
        <v>4.8019999999999996</v>
      </c>
      <c r="D81" s="2">
        <f t="shared" si="7"/>
        <v>1.8261830897855875E-3</v>
      </c>
      <c r="E81" s="2">
        <f t="shared" si="9"/>
        <v>2.2882900609215461E-3</v>
      </c>
      <c r="F81" s="2">
        <f t="shared" si="8"/>
        <v>-3.0775492693568156E-2</v>
      </c>
      <c r="G81" s="2">
        <f t="shared" si="5"/>
        <v>-3.0775492693568156E-2</v>
      </c>
    </row>
    <row r="82" spans="1:7" x14ac:dyDescent="0.25">
      <c r="A82" s="18">
        <v>1.58</v>
      </c>
      <c r="B82" s="2">
        <v>2.8490000000000001E-2</v>
      </c>
      <c r="C82" s="2">
        <f t="shared" si="6"/>
        <v>-5.6980000000000004</v>
      </c>
      <c r="D82" s="2">
        <f t="shared" si="7"/>
        <v>1.9153156106832966E-3</v>
      </c>
      <c r="E82" s="2">
        <f t="shared" si="9"/>
        <v>2.5360679493784087E-3</v>
      </c>
      <c r="F82" s="2">
        <f t="shared" si="8"/>
        <v>-8.5949468320499448E-2</v>
      </c>
      <c r="G82" s="2">
        <f t="shared" si="5"/>
        <v>-8.5949468320499448E-2</v>
      </c>
    </row>
    <row r="83" spans="1:7" x14ac:dyDescent="0.25">
      <c r="A83" s="18">
        <v>1.6</v>
      </c>
      <c r="B83" s="2">
        <v>8.0990000000000006E-2</v>
      </c>
      <c r="C83" s="2">
        <f t="shared" si="6"/>
        <v>-16.198</v>
      </c>
      <c r="D83" s="2">
        <f t="shared" si="7"/>
        <v>1.9700683442528057E-3</v>
      </c>
      <c r="E83" s="2">
        <f t="shared" si="9"/>
        <v>2.2283130224427274E-3</v>
      </c>
      <c r="F83" s="2">
        <f t="shared" si="8"/>
        <v>-0.14009205032758507</v>
      </c>
      <c r="G83" s="2">
        <f t="shared" si="5"/>
        <v>-0.14009205032758507</v>
      </c>
    </row>
    <row r="84" spans="1:7" x14ac:dyDescent="0.25">
      <c r="A84" s="18">
        <v>1.62</v>
      </c>
      <c r="B84" s="2">
        <v>0.13350000000000001</v>
      </c>
      <c r="C84" s="2">
        <f t="shared" si="6"/>
        <v>-26.700000000000003</v>
      </c>
      <c r="D84" s="2">
        <f t="shared" si="7"/>
        <v>1.968784257691281E-3</v>
      </c>
      <c r="E84" s="2">
        <f t="shared" si="9"/>
        <v>1.3688183392377275E-3</v>
      </c>
      <c r="F84" s="2">
        <f t="shared" si="8"/>
        <v>-0.19256352773073873</v>
      </c>
      <c r="G84" s="2">
        <f t="shared" si="5"/>
        <v>-0.19256352773073873</v>
      </c>
    </row>
    <row r="85" spans="1:7" x14ac:dyDescent="0.25">
      <c r="A85" s="18">
        <v>1.64</v>
      </c>
      <c r="B85" s="2">
        <v>0.186</v>
      </c>
      <c r="C85" s="2">
        <f t="shared" si="6"/>
        <v>-37.200000000000003</v>
      </c>
      <c r="D85" s="2">
        <f t="shared" si="7"/>
        <v>1.8904747600374608E-3</v>
      </c>
      <c r="E85" s="2">
        <f t="shared" si="9"/>
        <v>-3.2102164038117723E-5</v>
      </c>
      <c r="F85" s="2">
        <f t="shared" si="8"/>
        <v>-0.24271424280112477</v>
      </c>
      <c r="G85" s="2">
        <f t="shared" si="5"/>
        <v>-0.24271424280112477</v>
      </c>
    </row>
    <row r="86" spans="1:7" x14ac:dyDescent="0.25">
      <c r="A86" s="18">
        <v>1.66</v>
      </c>
      <c r="B86" s="2">
        <v>0.23849999999999999</v>
      </c>
      <c r="C86" s="2">
        <f t="shared" si="6"/>
        <v>-47.699999999999996</v>
      </c>
      <c r="D86" s="2">
        <f t="shared" si="7"/>
        <v>1.7150795652631906E-3</v>
      </c>
      <c r="E86" s="2">
        <f t="shared" si="9"/>
        <v>-1.957737441345505E-3</v>
      </c>
      <c r="F86" s="2">
        <f t="shared" si="8"/>
        <v>-0.28995238695789671</v>
      </c>
      <c r="G86" s="2">
        <f t="shared" si="5"/>
        <v>-0.28995238695789671</v>
      </c>
    </row>
    <row r="87" spans="1:7" x14ac:dyDescent="0.25">
      <c r="A87" s="18">
        <v>1.68</v>
      </c>
      <c r="B87" s="2">
        <v>0.21992999999999999</v>
      </c>
      <c r="C87" s="2">
        <f t="shared" si="6"/>
        <v>-43.985999999999997</v>
      </c>
      <c r="D87" s="2">
        <f t="shared" si="7"/>
        <v>1.4237034157057618E-3</v>
      </c>
      <c r="E87" s="2">
        <f t="shared" si="9"/>
        <v>-4.3848798693567528E-3</v>
      </c>
      <c r="F87" s="2">
        <f t="shared" si="8"/>
        <v>-0.26264110247117389</v>
      </c>
      <c r="G87" s="2">
        <f t="shared" si="5"/>
        <v>-0.26264110247117389</v>
      </c>
    </row>
    <row r="88" spans="1:7" x14ac:dyDescent="0.25">
      <c r="A88" s="18">
        <v>1.7</v>
      </c>
      <c r="B88" s="2">
        <v>0.20135</v>
      </c>
      <c r="C88" s="2">
        <f t="shared" si="6"/>
        <v>-40.270000000000003</v>
      </c>
      <c r="D88" s="2">
        <f t="shared" si="7"/>
        <v>1.0272708251598634E-3</v>
      </c>
      <c r="E88" s="2">
        <f t="shared" si="9"/>
        <v>-7.28440373893572E-3</v>
      </c>
      <c r="F88" s="2">
        <f t="shared" si="8"/>
        <v>-0.23216812475479609</v>
      </c>
      <c r="G88" s="2">
        <f t="shared" si="5"/>
        <v>-0.23216812475479609</v>
      </c>
    </row>
    <row r="89" spans="1:7" x14ac:dyDescent="0.25">
      <c r="A89" s="18">
        <v>1.72</v>
      </c>
      <c r="B89" s="2">
        <v>0.18276999999999999</v>
      </c>
      <c r="C89" s="2">
        <f t="shared" si="6"/>
        <v>-36.553999999999995</v>
      </c>
      <c r="D89" s="2">
        <f t="shared" si="7"/>
        <v>5.3797098471204663E-4</v>
      </c>
      <c r="E89" s="2">
        <f t="shared" si="9"/>
        <v>-9.9108147636474599E-3</v>
      </c>
      <c r="F89" s="2">
        <f t="shared" si="8"/>
        <v>-0.19890912954136147</v>
      </c>
      <c r="G89" s="2">
        <f t="shared" si="5"/>
        <v>-0.19890912954136147</v>
      </c>
    </row>
    <row r="90" spans="1:7" x14ac:dyDescent="0.25">
      <c r="A90" s="18">
        <v>1.74</v>
      </c>
      <c r="B90" s="2">
        <v>0.16420000000000001</v>
      </c>
      <c r="C90" s="2">
        <f t="shared" si="6"/>
        <v>-32.840000000000003</v>
      </c>
      <c r="D90" s="2">
        <f t="shared" si="7"/>
        <v>-3.0892507552314781E-5</v>
      </c>
      <c r="E90" s="2">
        <f t="shared" si="9"/>
        <v>-1.223249601119542E-2</v>
      </c>
      <c r="F90" s="2">
        <f t="shared" si="8"/>
        <v>-0.1632732247734304</v>
      </c>
      <c r="G90" s="2">
        <f t="shared" si="5"/>
        <v>-0.1632732247734304</v>
      </c>
    </row>
    <row r="91" spans="1:7" x14ac:dyDescent="0.25">
      <c r="A91" s="18">
        <v>1.76</v>
      </c>
      <c r="B91" s="2">
        <v>0.14562</v>
      </c>
      <c r="C91" s="2">
        <f t="shared" si="6"/>
        <v>-29.123999999999999</v>
      </c>
      <c r="D91" s="2">
        <f t="shared" si="7"/>
        <v>-6.6506528972604833E-4</v>
      </c>
      <c r="E91" s="2">
        <f t="shared" si="9"/>
        <v>-1.4221587306609034E-2</v>
      </c>
      <c r="F91" s="2">
        <f t="shared" si="8"/>
        <v>-0.12566804130821868</v>
      </c>
      <c r="G91" s="2">
        <f t="shared" si="5"/>
        <v>-0.12566804130821868</v>
      </c>
    </row>
    <row r="92" spans="1:7" x14ac:dyDescent="0.25">
      <c r="A92" s="18">
        <v>1.78</v>
      </c>
      <c r="B92" s="2">
        <v>0.16142999999999999</v>
      </c>
      <c r="C92" s="2">
        <f t="shared" si="6"/>
        <v>-32.286000000000001</v>
      </c>
      <c r="D92" s="2">
        <f t="shared" si="7"/>
        <v>-1.3495052884230693E-3</v>
      </c>
      <c r="E92" s="2">
        <f t="shared" si="9"/>
        <v>-1.5854319554343337E-2</v>
      </c>
      <c r="F92" s="2">
        <f t="shared" si="8"/>
        <v>-0.12094484134730714</v>
      </c>
      <c r="G92" s="2">
        <f t="shared" si="5"/>
        <v>-0.12094484134730714</v>
      </c>
    </row>
    <row r="93" spans="1:7" x14ac:dyDescent="0.25">
      <c r="A93" s="18">
        <v>1.8</v>
      </c>
      <c r="B93" s="2">
        <v>0.17724999999999999</v>
      </c>
      <c r="C93" s="2">
        <f t="shared" si="6"/>
        <v>-35.449999999999996</v>
      </c>
      <c r="D93" s="2">
        <f t="shared" si="7"/>
        <v>-2.0823232236590133E-3</v>
      </c>
      <c r="E93" s="2">
        <f t="shared" si="9"/>
        <v>-1.7110999967425523E-2</v>
      </c>
      <c r="F93" s="2">
        <f t="shared" si="8"/>
        <v>-0.11478030329023026</v>
      </c>
      <c r="G93" s="2">
        <f t="shared" si="5"/>
        <v>-0.11478030329023026</v>
      </c>
    </row>
    <row r="94" spans="1:7" x14ac:dyDescent="0.25">
      <c r="A94" s="18">
        <v>1.82</v>
      </c>
      <c r="B94" s="2">
        <v>0.13214999999999999</v>
      </c>
      <c r="C94" s="2">
        <f t="shared" si="6"/>
        <v>-26.43</v>
      </c>
      <c r="D94" s="2">
        <f t="shared" si="7"/>
        <v>-2.8610532802110494E-3</v>
      </c>
      <c r="E94" s="2">
        <f t="shared" si="9"/>
        <v>-1.83204483808986E-2</v>
      </c>
      <c r="F94" s="2">
        <f t="shared" si="8"/>
        <v>-4.6318401593668311E-2</v>
      </c>
      <c r="G94" s="2">
        <f t="shared" si="5"/>
        <v>-4.6318401593668311E-2</v>
      </c>
    </row>
    <row r="95" spans="1:7" x14ac:dyDescent="0.25">
      <c r="A95" s="18">
        <v>1.84</v>
      </c>
      <c r="B95" s="2">
        <v>8.7050000000000002E-2</v>
      </c>
      <c r="C95" s="2">
        <f t="shared" si="6"/>
        <v>-17.41</v>
      </c>
      <c r="D95" s="2">
        <f t="shared" si="7"/>
        <v>-3.6583106974005528E-3</v>
      </c>
      <c r="E95" s="2">
        <f t="shared" si="9"/>
        <v>-1.9468251413800902E-2</v>
      </c>
      <c r="F95" s="2">
        <f t="shared" si="8"/>
        <v>2.2699320922018717E-2</v>
      </c>
      <c r="G95" s="2">
        <f t="shared" si="5"/>
        <v>2.2699320922018717E-2</v>
      </c>
    </row>
    <row r="96" spans="1:7" x14ac:dyDescent="0.25">
      <c r="A96" s="18">
        <v>1.86</v>
      </c>
      <c r="B96" s="2">
        <v>4.1959999999999997E-2</v>
      </c>
      <c r="C96" s="2">
        <f t="shared" si="6"/>
        <v>-8.3919999999999995</v>
      </c>
      <c r="D96" s="2">
        <f t="shared" si="7"/>
        <v>-4.4464883862212487E-3</v>
      </c>
      <c r="E96" s="2">
        <f t="shared" si="9"/>
        <v>-1.9931435429737587E-2</v>
      </c>
      <c r="F96" s="2">
        <f t="shared" si="8"/>
        <v>9.1434651586640589E-2</v>
      </c>
      <c r="G96" s="2">
        <f t="shared" si="5"/>
        <v>9.1434651586640589E-2</v>
      </c>
    </row>
    <row r="97" spans="1:7" x14ac:dyDescent="0.25">
      <c r="A97" s="18">
        <v>1.88</v>
      </c>
      <c r="B97" s="2">
        <v>-3.14E-3</v>
      </c>
      <c r="C97" s="2">
        <f t="shared" si="6"/>
        <v>0.628</v>
      </c>
      <c r="D97" s="2">
        <f t="shared" si="7"/>
        <v>-5.1980922144072884E-3</v>
      </c>
      <c r="E97" s="2">
        <f t="shared" si="9"/>
        <v>-1.9704442220517399E-2</v>
      </c>
      <c r="F97" s="2">
        <f t="shared" si="8"/>
        <v>0.15908276643221808</v>
      </c>
      <c r="G97" s="2">
        <f t="shared" si="5"/>
        <v>0.15908276643221808</v>
      </c>
    </row>
    <row r="98" spans="1:7" x14ac:dyDescent="0.25">
      <c r="A98" s="18">
        <v>1.9</v>
      </c>
      <c r="B98" s="2">
        <v>-4.8239999999999998E-2</v>
      </c>
      <c r="C98" s="2">
        <f t="shared" si="6"/>
        <v>9.6479999999999997</v>
      </c>
      <c r="D98" s="2">
        <f t="shared" si="7"/>
        <v>-5.8860629360204409E-3</v>
      </c>
      <c r="E98" s="2">
        <f t="shared" si="9"/>
        <v>-1.8790095704650994E-2</v>
      </c>
      <c r="F98" s="2">
        <f t="shared" si="8"/>
        <v>0.22482188808061299</v>
      </c>
      <c r="G98" s="2">
        <f t="shared" si="5"/>
        <v>0.22482188808061299</v>
      </c>
    </row>
    <row r="99" spans="1:7" x14ac:dyDescent="0.25">
      <c r="A99" s="18">
        <v>1.92</v>
      </c>
      <c r="B99" s="2">
        <v>-9.3340000000000006E-2</v>
      </c>
      <c r="C99" s="2">
        <f t="shared" si="6"/>
        <v>18.668000000000003</v>
      </c>
      <c r="D99" s="2">
        <f t="shared" si="7"/>
        <v>-6.4841049024013482E-3</v>
      </c>
      <c r="E99" s="2">
        <f t="shared" si="9"/>
        <v>-1.719926804032881E-2</v>
      </c>
      <c r="F99" s="2">
        <f t="shared" si="8"/>
        <v>0.28786314707203919</v>
      </c>
      <c r="G99" s="2">
        <f t="shared" si="5"/>
        <v>0.28786314707203919</v>
      </c>
    </row>
    <row r="100" spans="1:7" x14ac:dyDescent="0.25">
      <c r="A100" s="18">
        <v>1.94</v>
      </c>
      <c r="B100" s="2">
        <v>-0.13843</v>
      </c>
      <c r="C100" s="2">
        <f t="shared" si="6"/>
        <v>27.686</v>
      </c>
      <c r="D100" s="2">
        <f t="shared" si="7"/>
        <v>-6.9670016099534398E-3</v>
      </c>
      <c r="E100" s="2">
        <f t="shared" si="9"/>
        <v>-1.4951049159522681E-2</v>
      </c>
      <c r="F100" s="2">
        <f t="shared" si="8"/>
        <v>0.34744004829859998</v>
      </c>
      <c r="G100" s="2">
        <f t="shared" si="5"/>
        <v>0.34744004829859998</v>
      </c>
    </row>
    <row r="101" spans="1:7" x14ac:dyDescent="0.25">
      <c r="A101" s="18">
        <v>1.96</v>
      </c>
      <c r="B101" s="2">
        <v>-0.18353</v>
      </c>
      <c r="C101" s="2">
        <f t="shared" si="6"/>
        <v>36.706000000000003</v>
      </c>
      <c r="D101" s="2">
        <f t="shared" si="7"/>
        <v>-7.3109222981860914E-3</v>
      </c>
      <c r="E101" s="2">
        <f t="shared" si="9"/>
        <v>-1.207241768880229E-2</v>
      </c>
      <c r="F101" s="2">
        <f t="shared" si="8"/>
        <v>0.40285766894558417</v>
      </c>
      <c r="G101" s="2">
        <f t="shared" si="5"/>
        <v>0.40285766894558417</v>
      </c>
    </row>
    <row r="102" spans="1:7" x14ac:dyDescent="0.25">
      <c r="A102" s="18">
        <v>1.98</v>
      </c>
      <c r="B102" s="2">
        <v>-0.22863</v>
      </c>
      <c r="C102" s="2">
        <f t="shared" si="6"/>
        <v>45.725999999999999</v>
      </c>
      <c r="D102" s="2">
        <f t="shared" si="7"/>
        <v>-7.4936999188405093E-3</v>
      </c>
      <c r="E102" s="2">
        <f t="shared" si="9"/>
        <v>-8.5980172058162888E-3</v>
      </c>
      <c r="F102" s="2">
        <f t="shared" si="8"/>
        <v>0.45344099756521294</v>
      </c>
      <c r="G102" s="2">
        <f t="shared" si="5"/>
        <v>0.45344099756521294</v>
      </c>
    </row>
    <row r="103" spans="1:7" x14ac:dyDescent="0.25">
      <c r="A103" s="18">
        <v>2</v>
      </c>
      <c r="B103" s="2">
        <v>-0.27372000000000002</v>
      </c>
      <c r="C103" s="2">
        <f t="shared" si="6"/>
        <v>54.744000000000007</v>
      </c>
      <c r="D103" s="2">
        <f t="shared" si="7"/>
        <v>-7.495101140468842E-3</v>
      </c>
      <c r="E103" s="2">
        <f t="shared" si="9"/>
        <v>-4.5694405163604476E-3</v>
      </c>
      <c r="F103" s="2">
        <f t="shared" si="8"/>
        <v>0.49857303421405991</v>
      </c>
      <c r="G103" s="2">
        <f t="shared" si="5"/>
        <v>0.49857303421405991</v>
      </c>
    </row>
    <row r="104" spans="1:7" x14ac:dyDescent="0.25">
      <c r="A104" s="18">
        <v>2.02</v>
      </c>
      <c r="B104" s="2">
        <v>-0.31881999999999999</v>
      </c>
      <c r="C104" s="2">
        <f t="shared" si="6"/>
        <v>63.763999999999996</v>
      </c>
      <c r="D104" s="2">
        <f t="shared" si="7"/>
        <v>-7.2970731484115507E-3</v>
      </c>
      <c r="E104" s="2">
        <f t="shared" si="9"/>
        <v>-3.503054070831766E-5</v>
      </c>
      <c r="F104" s="2">
        <f t="shared" si="8"/>
        <v>0.53773219445234788</v>
      </c>
      <c r="G104" s="2">
        <f t="shared" si="5"/>
        <v>0.53773219445234788</v>
      </c>
    </row>
    <row r="105" spans="1:7" x14ac:dyDescent="0.25">
      <c r="A105" s="18">
        <v>2.04</v>
      </c>
      <c r="B105" s="2">
        <v>-0.25024000000000002</v>
      </c>
      <c r="C105" s="2">
        <f t="shared" si="6"/>
        <v>50.048000000000002</v>
      </c>
      <c r="D105" s="2">
        <f t="shared" si="7"/>
        <v>-6.8839522785733203E-3</v>
      </c>
      <c r="E105" s="2">
        <f t="shared" si="9"/>
        <v>4.9506998014322819E-3</v>
      </c>
      <c r="F105" s="2">
        <f t="shared" si="8"/>
        <v>0.45675856835719791</v>
      </c>
      <c r="G105" s="2">
        <f t="shared" si="5"/>
        <v>0.45675856835719791</v>
      </c>
    </row>
    <row r="106" spans="1:7" x14ac:dyDescent="0.25">
      <c r="A106" s="18">
        <v>2.06</v>
      </c>
      <c r="B106" s="2">
        <v>-0.18165999999999999</v>
      </c>
      <c r="C106" s="2">
        <f t="shared" si="6"/>
        <v>36.332000000000001</v>
      </c>
      <c r="D106" s="2">
        <f t="shared" si="7"/>
        <v>-6.2881279813922107E-3</v>
      </c>
      <c r="E106" s="2">
        <f t="shared" si="9"/>
        <v>1.032802174595576E-2</v>
      </c>
      <c r="F106" s="2">
        <f t="shared" si="8"/>
        <v>0.37030383944177192</v>
      </c>
      <c r="G106" s="2">
        <f t="shared" si="5"/>
        <v>0.37030383944177192</v>
      </c>
    </row>
    <row r="107" spans="1:7" x14ac:dyDescent="0.25">
      <c r="A107" s="18">
        <v>2.08</v>
      </c>
      <c r="B107" s="2">
        <v>-0.11309</v>
      </c>
      <c r="C107" s="2">
        <f t="shared" si="6"/>
        <v>22.617999999999999</v>
      </c>
      <c r="D107" s="2">
        <f t="shared" si="7"/>
        <v>-5.5441821484343923E-3</v>
      </c>
      <c r="E107" s="2">
        <f t="shared" si="9"/>
        <v>1.489560742952774E-2</v>
      </c>
      <c r="F107" s="2">
        <f t="shared" si="8"/>
        <v>0.27941546445303578</v>
      </c>
      <c r="G107" s="2">
        <f t="shared" si="5"/>
        <v>0.27941546445303578</v>
      </c>
    </row>
    <row r="108" spans="1:7" x14ac:dyDescent="0.25">
      <c r="A108" s="18">
        <v>2.1</v>
      </c>
      <c r="B108" s="2">
        <v>-4.4510000000000001E-2</v>
      </c>
      <c r="C108" s="2">
        <f t="shared" si="6"/>
        <v>8.902000000000001</v>
      </c>
      <c r="D108" s="2">
        <f t="shared" si="7"/>
        <v>-4.6884701296953596E-3</v>
      </c>
      <c r="E108" s="2">
        <f t="shared" si="9"/>
        <v>1.8598645823945457E-2</v>
      </c>
      <c r="F108" s="2">
        <f t="shared" si="8"/>
        <v>0.18516410389086099</v>
      </c>
      <c r="G108" s="2">
        <f t="shared" si="5"/>
        <v>0.18516410389086099</v>
      </c>
    </row>
    <row r="109" spans="1:7" x14ac:dyDescent="0.25">
      <c r="A109" s="18">
        <v>2.12</v>
      </c>
      <c r="B109" s="2">
        <v>2.4070000000000001E-2</v>
      </c>
      <c r="C109" s="2">
        <f t="shared" si="6"/>
        <v>-4.8140000000000001</v>
      </c>
      <c r="D109" s="2">
        <f t="shared" si="7"/>
        <v>-3.7586924693999825E-3</v>
      </c>
      <c r="E109" s="2">
        <f t="shared" si="9"/>
        <v>2.1392800468475817E-2</v>
      </c>
      <c r="F109" s="2">
        <f t="shared" si="8"/>
        <v>8.8690774082001822E-2</v>
      </c>
      <c r="G109" s="2">
        <f t="shared" si="5"/>
        <v>8.8690774082001822E-2</v>
      </c>
    </row>
    <row r="110" spans="1:7" x14ac:dyDescent="0.25">
      <c r="A110" s="18">
        <v>2.14</v>
      </c>
      <c r="B110" s="2">
        <v>9.2649999999999996E-2</v>
      </c>
      <c r="C110" s="2">
        <f t="shared" si="6"/>
        <v>-18.529999999999998</v>
      </c>
      <c r="D110" s="2">
        <f t="shared" si="7"/>
        <v>-2.7934384994718047E-3</v>
      </c>
      <c r="E110" s="2">
        <f t="shared" si="9"/>
        <v>2.3244441507384427E-2</v>
      </c>
      <c r="F110" s="2">
        <f t="shared" si="8"/>
        <v>-8.8468450158463198E-3</v>
      </c>
      <c r="G110" s="2">
        <f t="shared" si="5"/>
        <v>-8.8468450158463198E-3</v>
      </c>
    </row>
    <row r="111" spans="1:7" x14ac:dyDescent="0.25">
      <c r="A111" s="18">
        <v>2.16</v>
      </c>
      <c r="B111" s="2">
        <v>0.16123000000000001</v>
      </c>
      <c r="C111" s="2">
        <f t="shared" si="6"/>
        <v>-32.246000000000002</v>
      </c>
      <c r="D111" s="2">
        <f t="shared" si="7"/>
        <v>-1.8317232675499654E-3</v>
      </c>
      <c r="E111" s="2">
        <f t="shared" si="9"/>
        <v>2.4131349248204446E-2</v>
      </c>
      <c r="F111" s="2">
        <f t="shared" si="8"/>
        <v>-0.10627830197350106</v>
      </c>
      <c r="G111" s="2">
        <f t="shared" si="5"/>
        <v>-0.10627830197350106</v>
      </c>
    </row>
    <row r="112" spans="1:7" x14ac:dyDescent="0.25">
      <c r="A112" s="18">
        <v>2.1800000000000002</v>
      </c>
      <c r="B112" s="2">
        <v>0.22980999999999999</v>
      </c>
      <c r="C112" s="2">
        <f t="shared" si="6"/>
        <v>-45.961999999999996</v>
      </c>
      <c r="D112" s="2">
        <f t="shared" si="7"/>
        <v>-9.1251935641752655E-4</v>
      </c>
      <c r="E112" s="2">
        <f t="shared" si="9"/>
        <v>2.4042880798045983E-2</v>
      </c>
      <c r="F112" s="2">
        <f t="shared" si="8"/>
        <v>-0.20243441930747444</v>
      </c>
      <c r="G112" s="2">
        <f t="shared" si="5"/>
        <v>-0.20243441930747444</v>
      </c>
    </row>
    <row r="113" spans="1:7" x14ac:dyDescent="0.25">
      <c r="A113" s="18">
        <v>2.2000000000000002</v>
      </c>
      <c r="B113" s="2">
        <v>0.29838999999999999</v>
      </c>
      <c r="C113" s="2">
        <f t="shared" si="6"/>
        <v>-59.677999999999997</v>
      </c>
      <c r="D113" s="2">
        <f t="shared" si="7"/>
        <v>-7.4289213008077464E-5</v>
      </c>
      <c r="E113" s="2">
        <f t="shared" si="9"/>
        <v>2.2980097778310973E-2</v>
      </c>
      <c r="F113" s="2">
        <f t="shared" si="8"/>
        <v>-0.296161323609758</v>
      </c>
      <c r="G113" s="2">
        <f t="shared" si="5"/>
        <v>-0.296161323609758</v>
      </c>
    </row>
    <row r="114" spans="1:7" x14ac:dyDescent="0.25">
      <c r="A114" s="18">
        <v>2.2200000000000002</v>
      </c>
      <c r="B114" s="2">
        <v>0.23197000000000001</v>
      </c>
      <c r="C114" s="2">
        <f t="shared" si="6"/>
        <v>-46.394000000000005</v>
      </c>
      <c r="D114" s="2">
        <f t="shared" si="7"/>
        <v>6.4547640095746848E-4</v>
      </c>
      <c r="E114" s="2">
        <f t="shared" si="9"/>
        <v>2.0955753585236225E-2</v>
      </c>
      <c r="F114" s="2">
        <f t="shared" si="8"/>
        <v>-0.25133429202872398</v>
      </c>
      <c r="G114" s="2">
        <f t="shared" si="5"/>
        <v>-0.25133429202872398</v>
      </c>
    </row>
    <row r="115" spans="1:7" x14ac:dyDescent="0.25">
      <c r="A115" s="18">
        <v>2.2400000000000002</v>
      </c>
      <c r="B115" s="2">
        <v>0.16553999999999999</v>
      </c>
      <c r="C115" s="2">
        <f t="shared" si="6"/>
        <v>-33.107999999999997</v>
      </c>
      <c r="D115" s="2">
        <f t="shared" si="7"/>
        <v>1.2647082981115249E-3</v>
      </c>
      <c r="E115" s="2">
        <f t="shared" si="9"/>
        <v>1.7994140349138647E-2</v>
      </c>
      <c r="F115" s="2">
        <f t="shared" si="8"/>
        <v>-0.20348124894334621</v>
      </c>
      <c r="G115" s="2">
        <f t="shared" si="5"/>
        <v>-0.20348124894334621</v>
      </c>
    </row>
    <row r="116" spans="1:7" x14ac:dyDescent="0.25">
      <c r="A116" s="18">
        <v>2.2599999999999998</v>
      </c>
      <c r="B116" s="2">
        <v>9.912E-2</v>
      </c>
      <c r="C116" s="2">
        <f t="shared" si="6"/>
        <v>-19.824000000000002</v>
      </c>
      <c r="D116" s="2">
        <f t="shared" si="7"/>
        <v>1.8025476956882427E-3</v>
      </c>
      <c r="E116" s="2">
        <f t="shared" si="9"/>
        <v>1.5480797428851409E-2</v>
      </c>
      <c r="F116" s="2">
        <f t="shared" si="8"/>
        <v>-0.15319643087064794</v>
      </c>
      <c r="G116" s="2">
        <f t="shared" si="5"/>
        <v>-0.15319643087064794</v>
      </c>
    </row>
    <row r="117" spans="1:7" x14ac:dyDescent="0.25">
      <c r="A117" s="18">
        <v>2.2799999999999998</v>
      </c>
      <c r="B117" s="2">
        <v>3.27E-2</v>
      </c>
      <c r="C117" s="2">
        <f t="shared" si="6"/>
        <v>-6.54</v>
      </c>
      <c r="D117" s="2">
        <f t="shared" si="7"/>
        <v>2.2791085209167014E-3</v>
      </c>
      <c r="E117" s="2">
        <f t="shared" si="9"/>
        <v>1.3445984939417947E-2</v>
      </c>
      <c r="F117" s="2">
        <f t="shared" si="8"/>
        <v>-0.10107325562750129</v>
      </c>
      <c r="G117" s="2">
        <f t="shared" si="5"/>
        <v>-0.10107325562750129</v>
      </c>
    </row>
    <row r="118" spans="1:7" x14ac:dyDescent="0.25">
      <c r="A118" s="18">
        <v>2.2999999999999998</v>
      </c>
      <c r="B118" s="2">
        <v>-3.372E-2</v>
      </c>
      <c r="C118" s="2">
        <f t="shared" si="6"/>
        <v>6.7439999999999998</v>
      </c>
      <c r="D118" s="2">
        <f t="shared" si="7"/>
        <v>2.7152400438941594E-3</v>
      </c>
      <c r="E118" s="2">
        <f t="shared" si="9"/>
        <v>1.1914020630711467E-2</v>
      </c>
      <c r="F118" s="2">
        <f t="shared" si="8"/>
        <v>-4.7737201316823838E-2</v>
      </c>
      <c r="G118" s="2">
        <f t="shared" si="5"/>
        <v>-4.7737201316823838E-2</v>
      </c>
    </row>
    <row r="119" spans="1:7" x14ac:dyDescent="0.25">
      <c r="A119" s="18">
        <v>2.3199999999999998</v>
      </c>
      <c r="B119" s="2">
        <v>-0.10014000000000001</v>
      </c>
      <c r="C119" s="2">
        <f t="shared" si="6"/>
        <v>20.028000000000002</v>
      </c>
      <c r="D119" s="2">
        <f t="shared" si="7"/>
        <v>3.1322766863448879E-3</v>
      </c>
      <c r="E119" s="2">
        <f t="shared" si="9"/>
        <v>1.0903288074436449E-2</v>
      </c>
      <c r="F119" s="2">
        <f t="shared" si="8"/>
        <v>6.1716994096511994E-3</v>
      </c>
      <c r="G119" s="2">
        <f t="shared" si="5"/>
        <v>6.1716994096511994E-3</v>
      </c>
    </row>
    <row r="120" spans="1:7" x14ac:dyDescent="0.25">
      <c r="A120" s="18">
        <v>2.34</v>
      </c>
      <c r="B120" s="2">
        <v>-0.16656000000000001</v>
      </c>
      <c r="C120" s="2">
        <f t="shared" si="6"/>
        <v>33.312000000000005</v>
      </c>
      <c r="D120" s="2">
        <f t="shared" si="7"/>
        <v>3.5517820085594768E-3</v>
      </c>
      <c r="E120" s="2">
        <f t="shared" si="9"/>
        <v>1.0425916061268211E-2</v>
      </c>
      <c r="F120" s="2">
        <f t="shared" si="8"/>
        <v>6.0006539743214564E-2</v>
      </c>
      <c r="G120" s="2">
        <f t="shared" si="5"/>
        <v>6.0006539743214564E-2</v>
      </c>
    </row>
    <row r="121" spans="1:7" x14ac:dyDescent="0.25">
      <c r="A121" s="18">
        <v>2.36</v>
      </c>
      <c r="B121" s="2">
        <v>-0.23299</v>
      </c>
      <c r="C121" s="2">
        <f t="shared" si="6"/>
        <v>46.597999999999999</v>
      </c>
      <c r="D121" s="2">
        <f t="shared" si="7"/>
        <v>3.9952899466713515E-3</v>
      </c>
      <c r="E121" s="2">
        <f t="shared" si="9"/>
        <v>1.0487633055364723E-2</v>
      </c>
      <c r="F121" s="2">
        <f t="shared" si="8"/>
        <v>0.11313130159985862</v>
      </c>
      <c r="G121" s="2">
        <f t="shared" si="5"/>
        <v>0.11313130159985862</v>
      </c>
    </row>
    <row r="122" spans="1:7" x14ac:dyDescent="0.25">
      <c r="A122" s="18">
        <v>2.38</v>
      </c>
      <c r="B122" s="2">
        <v>-0.29941000000000001</v>
      </c>
      <c r="C122" s="2">
        <f t="shared" si="6"/>
        <v>59.882000000000005</v>
      </c>
      <c r="D122" s="2">
        <f t="shared" si="7"/>
        <v>4.4840504054231697E-3</v>
      </c>
      <c r="E122" s="2">
        <f t="shared" si="9"/>
        <v>1.1087698452796868E-2</v>
      </c>
      <c r="F122" s="2">
        <f t="shared" si="8"/>
        <v>0.16488848783730198</v>
      </c>
      <c r="G122" s="2">
        <f t="shared" si="5"/>
        <v>0.16488848783730198</v>
      </c>
    </row>
    <row r="123" spans="1:7" x14ac:dyDescent="0.25">
      <c r="A123" s="18">
        <v>2.4</v>
      </c>
      <c r="B123" s="2">
        <v>-4.2100000000000002E-3</v>
      </c>
      <c r="C123" s="2">
        <f t="shared" si="6"/>
        <v>0.84200000000000008</v>
      </c>
      <c r="D123" s="2">
        <f t="shared" si="7"/>
        <v>5.0387662593099087E-3</v>
      </c>
      <c r="E123" s="2">
        <f t="shared" si="9"/>
        <v>1.2219011468795454E-2</v>
      </c>
      <c r="F123" s="2">
        <f t="shared" si="8"/>
        <v>-0.1469529877793003</v>
      </c>
      <c r="G123" s="2">
        <f t="shared" si="5"/>
        <v>-0.1469529877793003</v>
      </c>
    </row>
    <row r="124" spans="1:7" x14ac:dyDescent="0.25">
      <c r="A124" s="18">
        <v>2.42</v>
      </c>
      <c r="B124" s="2">
        <v>0.29099000000000003</v>
      </c>
      <c r="C124" s="2">
        <f t="shared" si="6"/>
        <v>-58.198000000000008</v>
      </c>
      <c r="D124" s="2">
        <f t="shared" si="7"/>
        <v>5.5347009180849276E-3</v>
      </c>
      <c r="E124" s="2">
        <f t="shared" si="9"/>
        <v>1.3867896347168474E-2</v>
      </c>
      <c r="F124" s="2">
        <f t="shared" si="8"/>
        <v>-0.45703102754254993</v>
      </c>
      <c r="G124" s="2">
        <f t="shared" si="5"/>
        <v>-0.45703102754254993</v>
      </c>
    </row>
    <row r="125" spans="1:7" x14ac:dyDescent="0.25">
      <c r="A125" s="18">
        <v>2.44</v>
      </c>
      <c r="B125" s="2">
        <v>0.2238</v>
      </c>
      <c r="C125" s="2">
        <f t="shared" si="6"/>
        <v>-44.76</v>
      </c>
      <c r="D125" s="2">
        <f t="shared" si="7"/>
        <v>5.8478231658429265E-3</v>
      </c>
      <c r="E125" s="2">
        <f t="shared" si="9"/>
        <v>1.2398366469375472E-2</v>
      </c>
      <c r="F125" s="2">
        <f t="shared" si="8"/>
        <v>-0.39923469497528613</v>
      </c>
      <c r="G125" s="2">
        <f t="shared" si="5"/>
        <v>-0.39923469497528613</v>
      </c>
    </row>
    <row r="126" spans="1:7" x14ac:dyDescent="0.25">
      <c r="A126" s="18">
        <v>2.46</v>
      </c>
      <c r="B126" s="2">
        <v>0.15662000000000001</v>
      </c>
      <c r="C126" s="2">
        <f t="shared" si="6"/>
        <v>-31.324000000000002</v>
      </c>
      <c r="D126" s="2">
        <f t="shared" si="7"/>
        <v>6.0012515356108109E-3</v>
      </c>
      <c r="E126" s="2">
        <f t="shared" si="9"/>
        <v>7.8280561939499723E-3</v>
      </c>
      <c r="F126" s="2">
        <f t="shared" si="8"/>
        <v>-0.33665754606832526</v>
      </c>
      <c r="G126" s="2">
        <f t="shared" si="5"/>
        <v>-0.33665754606832526</v>
      </c>
    </row>
    <row r="127" spans="1:7" x14ac:dyDescent="0.25">
      <c r="A127" s="18">
        <v>2.48</v>
      </c>
      <c r="B127" s="2">
        <v>8.9429999999999996E-2</v>
      </c>
      <c r="C127" s="2">
        <f t="shared" si="6"/>
        <v>-17.885999999999999</v>
      </c>
      <c r="D127" s="2">
        <f t="shared" si="7"/>
        <v>6.0200168869513652E-3</v>
      </c>
      <c r="E127" s="2">
        <f t="shared" si="9"/>
        <v>3.835709244197111E-3</v>
      </c>
      <c r="F127" s="2">
        <f t="shared" si="8"/>
        <v>-0.27003050660854472</v>
      </c>
      <c r="G127" s="2">
        <f t="shared" si="5"/>
        <v>-0.27003050660854472</v>
      </c>
    </row>
    <row r="128" spans="1:7" x14ac:dyDescent="0.25">
      <c r="A128" s="18">
        <v>2.5</v>
      </c>
      <c r="B128" s="2">
        <v>2.2239999999999999E-2</v>
      </c>
      <c r="C128" s="2">
        <f t="shared" si="6"/>
        <v>-4.4479999999999995</v>
      </c>
      <c r="D128" s="2">
        <f t="shared" si="7"/>
        <v>5.9307700356485017E-3</v>
      </c>
      <c r="E128" s="2">
        <f t="shared" si="9"/>
        <v>4.6913378351385801E-4</v>
      </c>
      <c r="F128" s="2">
        <f t="shared" si="8"/>
        <v>-0.20016310106945417</v>
      </c>
      <c r="G128" s="2">
        <f t="shared" si="5"/>
        <v>-0.20016310106945417</v>
      </c>
    </row>
    <row r="129" spans="1:7" x14ac:dyDescent="0.25">
      <c r="A129" s="18">
        <v>2.52</v>
      </c>
      <c r="B129" s="2">
        <v>-4.4949999999999997E-2</v>
      </c>
      <c r="C129" s="2">
        <f t="shared" si="6"/>
        <v>8.99</v>
      </c>
      <c r="D129" s="2">
        <f t="shared" si="7"/>
        <v>5.7614579439178564E-3</v>
      </c>
      <c r="E129" s="2">
        <f t="shared" si="9"/>
        <v>-2.2311712825715891E-3</v>
      </c>
      <c r="F129" s="2">
        <f t="shared" si="8"/>
        <v>-0.12789373831753775</v>
      </c>
      <c r="G129" s="2">
        <f t="shared" si="5"/>
        <v>-0.12789373831753775</v>
      </c>
    </row>
    <row r="130" spans="1:7" x14ac:dyDescent="0.25">
      <c r="A130" s="18">
        <v>2.54</v>
      </c>
      <c r="B130" s="2">
        <v>1.8339999999999999E-2</v>
      </c>
      <c r="C130" s="2">
        <f t="shared" si="6"/>
        <v>-3.6679999999999997</v>
      </c>
      <c r="D130" s="2">
        <f t="shared" si="7"/>
        <v>5.5409883568601961E-3</v>
      </c>
      <c r="E130" s="2">
        <f t="shared" si="9"/>
        <v>-4.2328022932661309E-3</v>
      </c>
      <c r="F130" s="2">
        <f t="shared" si="8"/>
        <v>-0.18456965070580553</v>
      </c>
      <c r="G130" s="2">
        <f t="shared" ref="G130:G193" si="10">HLOOKUP($Y$3,$B$1:$F$1562,ROW(),0)</f>
        <v>-0.18456965070580553</v>
      </c>
    </row>
    <row r="131" spans="1:7" x14ac:dyDescent="0.25">
      <c r="A131" s="18">
        <v>2.56</v>
      </c>
      <c r="B131" s="2">
        <v>8.1629999999999994E-2</v>
      </c>
      <c r="C131" s="2">
        <f t="shared" ref="C131:C194" si="11">-$M$4*B131</f>
        <v>-16.326000000000001</v>
      </c>
      <c r="D131" s="2">
        <f t="shared" si="7"/>
        <v>5.2466909095202135E-3</v>
      </c>
      <c r="E131" s="2">
        <f t="shared" si="9"/>
        <v>-5.5117396764415086E-3</v>
      </c>
      <c r="F131" s="2">
        <f t="shared" si="8"/>
        <v>-0.23903072728560834</v>
      </c>
      <c r="G131" s="2">
        <f t="shared" si="10"/>
        <v>-0.23903072728560834</v>
      </c>
    </row>
    <row r="132" spans="1:7" x14ac:dyDescent="0.25">
      <c r="A132" s="18">
        <v>2.58</v>
      </c>
      <c r="B132" s="2">
        <v>0.14491000000000001</v>
      </c>
      <c r="C132" s="2">
        <f t="shared" si="11"/>
        <v>-28.982000000000003</v>
      </c>
      <c r="D132" s="2">
        <f t="shared" ref="D132:D195" si="12">(C131-($Q$6*D131)-($Q$7*D130))/$Q$5</f>
        <v>4.8567811712659876E-3</v>
      </c>
      <c r="E132" s="2">
        <f t="shared" si="9"/>
        <v>-7.3574361834995638E-3</v>
      </c>
      <c r="F132" s="2">
        <f t="shared" ref="F132:F195" si="13">(D131-2*D132+D133)/($A$4^2)</f>
        <v>-0.29061343513797849</v>
      </c>
      <c r="G132" s="2">
        <f t="shared" si="10"/>
        <v>-0.29061343513797849</v>
      </c>
    </row>
    <row r="133" spans="1:7" x14ac:dyDescent="0.25">
      <c r="A133" s="18">
        <v>2.6</v>
      </c>
      <c r="B133" s="2">
        <v>0.2082</v>
      </c>
      <c r="C133" s="2">
        <f t="shared" si="11"/>
        <v>-41.64</v>
      </c>
      <c r="D133" s="2">
        <f t="shared" si="12"/>
        <v>4.3506260589565703E-3</v>
      </c>
      <c r="E133" s="2">
        <f t="shared" ref="E133:E196" si="14">(D132-D131)/(2*$A$4)</f>
        <v>-9.7477434563556474E-3</v>
      </c>
      <c r="F133" s="2">
        <f t="shared" si="13"/>
        <v>-0.33871878176869968</v>
      </c>
      <c r="G133" s="2">
        <f t="shared" si="10"/>
        <v>-0.33871878176869968</v>
      </c>
    </row>
    <row r="134" spans="1:7" x14ac:dyDescent="0.25">
      <c r="A134" s="18">
        <v>2.62</v>
      </c>
      <c r="B134" s="2">
        <v>0.18973000000000001</v>
      </c>
      <c r="C134" s="2">
        <f t="shared" si="11"/>
        <v>-37.946000000000005</v>
      </c>
      <c r="D134" s="2">
        <f t="shared" si="12"/>
        <v>3.7089834339396732E-3</v>
      </c>
      <c r="E134" s="2">
        <f t="shared" si="14"/>
        <v>-1.2653877807735431E-2</v>
      </c>
      <c r="F134" s="2">
        <f t="shared" si="13"/>
        <v>-0.30099950301818801</v>
      </c>
      <c r="G134" s="2">
        <f t="shared" si="10"/>
        <v>-0.30099950301818801</v>
      </c>
    </row>
    <row r="135" spans="1:7" x14ac:dyDescent="0.25">
      <c r="A135" s="18">
        <v>2.64</v>
      </c>
      <c r="B135" s="2">
        <v>0.17125000000000001</v>
      </c>
      <c r="C135" s="2">
        <f t="shared" si="11"/>
        <v>-34.25</v>
      </c>
      <c r="D135" s="2">
        <f t="shared" si="12"/>
        <v>2.9469410077155008E-3</v>
      </c>
      <c r="E135" s="2">
        <f t="shared" si="14"/>
        <v>-1.6041065625422429E-2</v>
      </c>
      <c r="F135" s="2">
        <f t="shared" si="13"/>
        <v>-0.2596582302314635</v>
      </c>
      <c r="G135" s="2">
        <f t="shared" si="10"/>
        <v>-0.2596582302314635</v>
      </c>
    </row>
    <row r="136" spans="1:7" x14ac:dyDescent="0.25">
      <c r="A136" s="18">
        <v>2.66</v>
      </c>
      <c r="B136" s="2">
        <v>0.13758999999999999</v>
      </c>
      <c r="C136" s="2">
        <f t="shared" si="11"/>
        <v>-27.517999999999997</v>
      </c>
      <c r="D136" s="2">
        <f t="shared" si="12"/>
        <v>2.081035289398743E-3</v>
      </c>
      <c r="E136" s="2">
        <f t="shared" si="14"/>
        <v>-1.9051060655604309E-2</v>
      </c>
      <c r="F136" s="2">
        <f t="shared" si="13"/>
        <v>-0.20002105868196238</v>
      </c>
      <c r="G136" s="2">
        <f t="shared" si="10"/>
        <v>-0.20002105868196238</v>
      </c>
    </row>
    <row r="137" spans="1:7" x14ac:dyDescent="0.25">
      <c r="A137" s="18">
        <v>2.68</v>
      </c>
      <c r="B137" s="2">
        <v>0.10392999999999999</v>
      </c>
      <c r="C137" s="2">
        <f t="shared" si="11"/>
        <v>-20.785999999999998</v>
      </c>
      <c r="D137" s="2">
        <f t="shared" si="12"/>
        <v>1.1351211476092003E-3</v>
      </c>
      <c r="E137" s="2">
        <f t="shared" si="14"/>
        <v>-2.1647642957918944E-2</v>
      </c>
      <c r="F137" s="2">
        <f t="shared" si="13"/>
        <v>-0.13798363442827563</v>
      </c>
      <c r="G137" s="2">
        <f t="shared" si="10"/>
        <v>-0.13798363442827563</v>
      </c>
    </row>
    <row r="138" spans="1:7" x14ac:dyDescent="0.25">
      <c r="A138" s="18">
        <v>2.7</v>
      </c>
      <c r="B138" s="2">
        <v>7.0269999999999999E-2</v>
      </c>
      <c r="C138" s="2">
        <f t="shared" si="11"/>
        <v>-14.054</v>
      </c>
      <c r="D138" s="2">
        <f t="shared" si="12"/>
        <v>1.3401355204834727E-4</v>
      </c>
      <c r="E138" s="2">
        <f t="shared" si="14"/>
        <v>-2.3647853544738567E-2</v>
      </c>
      <c r="F138" s="2">
        <f t="shared" si="13"/>
        <v>-7.4290406561450487E-2</v>
      </c>
      <c r="G138" s="2">
        <f t="shared" si="10"/>
        <v>-7.4290406561450487E-2</v>
      </c>
    </row>
    <row r="139" spans="1:7" x14ac:dyDescent="0.25">
      <c r="A139" s="18">
        <v>2.72</v>
      </c>
      <c r="B139" s="2">
        <v>3.6609999999999997E-2</v>
      </c>
      <c r="C139" s="2">
        <f t="shared" si="11"/>
        <v>-7.3219999999999992</v>
      </c>
      <c r="D139" s="2">
        <f t="shared" si="12"/>
        <v>-8.9681020613708597E-4</v>
      </c>
      <c r="E139" s="2">
        <f t="shared" si="14"/>
        <v>-2.5027689889021324E-2</v>
      </c>
      <c r="F139" s="2">
        <f t="shared" si="13"/>
        <v>-9.7056938158873816E-3</v>
      </c>
      <c r="G139" s="2">
        <f t="shared" si="10"/>
        <v>-9.7056938158873816E-3</v>
      </c>
    </row>
    <row r="140" spans="1:7" x14ac:dyDescent="0.25">
      <c r="A140" s="18">
        <v>2.74</v>
      </c>
      <c r="B140" s="2">
        <v>2.9499999999999999E-3</v>
      </c>
      <c r="C140" s="2">
        <f t="shared" si="11"/>
        <v>-0.59</v>
      </c>
      <c r="D140" s="2">
        <f t="shared" si="12"/>
        <v>-1.9315162418488741E-3</v>
      </c>
      <c r="E140" s="2">
        <f t="shared" si="14"/>
        <v>-2.577059395463583E-2</v>
      </c>
      <c r="F140" s="2">
        <f t="shared" si="13"/>
        <v>5.4995487255466179E-2</v>
      </c>
      <c r="G140" s="2">
        <f t="shared" si="10"/>
        <v>5.4995487255466179E-2</v>
      </c>
    </row>
    <row r="141" spans="1:7" x14ac:dyDescent="0.25">
      <c r="A141" s="18">
        <v>2.76</v>
      </c>
      <c r="B141" s="2">
        <v>-3.0710000000000001E-2</v>
      </c>
      <c r="C141" s="2">
        <f t="shared" si="11"/>
        <v>6.1420000000000003</v>
      </c>
      <c r="D141" s="2">
        <f t="shared" si="12"/>
        <v>-2.9442240826584756E-3</v>
      </c>
      <c r="E141" s="2">
        <f t="shared" si="14"/>
        <v>-2.5867650892794705E-2</v>
      </c>
      <c r="F141" s="2">
        <f t="shared" si="13"/>
        <v>0.11903672247975342</v>
      </c>
      <c r="G141" s="2">
        <f t="shared" si="10"/>
        <v>0.11903672247975342</v>
      </c>
    </row>
    <row r="142" spans="1:7" x14ac:dyDescent="0.25">
      <c r="A142" s="18">
        <v>2.78</v>
      </c>
      <c r="B142" s="2">
        <v>-5.6100000000000004E-3</v>
      </c>
      <c r="C142" s="2">
        <f t="shared" si="11"/>
        <v>1.1220000000000001</v>
      </c>
      <c r="D142" s="2">
        <f t="shared" si="12"/>
        <v>-3.9093172344761753E-3</v>
      </c>
      <c r="E142" s="2">
        <f t="shared" si="14"/>
        <v>-2.5317696020240036E-2</v>
      </c>
      <c r="F142" s="2">
        <f t="shared" si="13"/>
        <v>0.12288951703428359</v>
      </c>
      <c r="G142" s="2">
        <f t="shared" si="10"/>
        <v>0.12288951703428359</v>
      </c>
    </row>
    <row r="143" spans="1:7" x14ac:dyDescent="0.25">
      <c r="A143" s="18">
        <v>2.8</v>
      </c>
      <c r="B143" s="2">
        <v>1.9480000000000001E-2</v>
      </c>
      <c r="C143" s="2">
        <f t="shared" si="11"/>
        <v>-3.8960000000000004</v>
      </c>
      <c r="D143" s="2">
        <f t="shared" si="12"/>
        <v>-4.8252545794801611E-3</v>
      </c>
      <c r="E143" s="2">
        <f t="shared" si="14"/>
        <v>-2.412732879544249E-2</v>
      </c>
      <c r="F143" s="2">
        <f t="shared" si="13"/>
        <v>0.12527763738440786</v>
      </c>
      <c r="G143" s="2">
        <f t="shared" si="10"/>
        <v>0.12527763738440786</v>
      </c>
    </row>
    <row r="144" spans="1:7" x14ac:dyDescent="0.25">
      <c r="A144" s="18">
        <v>2.82</v>
      </c>
      <c r="B144" s="2">
        <v>4.4580000000000002E-2</v>
      </c>
      <c r="C144" s="2">
        <f t="shared" si="11"/>
        <v>-8.9160000000000004</v>
      </c>
      <c r="D144" s="2">
        <f t="shared" si="12"/>
        <v>-5.6910808695303837E-3</v>
      </c>
      <c r="E144" s="2">
        <f t="shared" si="14"/>
        <v>-2.2898433625099645E-2</v>
      </c>
      <c r="F144" s="2">
        <f t="shared" si="13"/>
        <v>0.12615242608591312</v>
      </c>
      <c r="G144" s="2">
        <f t="shared" si="10"/>
        <v>0.12615242608591312</v>
      </c>
    </row>
    <row r="145" spans="1:7" x14ac:dyDescent="0.25">
      <c r="A145" s="18">
        <v>2.84</v>
      </c>
      <c r="B145" s="2">
        <v>6.4680000000000001E-2</v>
      </c>
      <c r="C145" s="2">
        <f t="shared" si="11"/>
        <v>-12.936</v>
      </c>
      <c r="D145" s="2">
        <f t="shared" si="12"/>
        <v>-6.5064461891462411E-3</v>
      </c>
      <c r="E145" s="2">
        <f t="shared" si="14"/>
        <v>-2.1645657251255567E-2</v>
      </c>
      <c r="F145" s="2">
        <f t="shared" si="13"/>
        <v>0.13051338567438875</v>
      </c>
      <c r="G145" s="2">
        <f t="shared" si="10"/>
        <v>0.13051338567438875</v>
      </c>
    </row>
    <row r="146" spans="1:7" x14ac:dyDescent="0.25">
      <c r="A146" s="18">
        <v>2.86</v>
      </c>
      <c r="B146" s="2">
        <v>8.4779999999999994E-2</v>
      </c>
      <c r="C146" s="2">
        <f t="shared" si="11"/>
        <v>-16.956</v>
      </c>
      <c r="D146" s="2">
        <f t="shared" si="12"/>
        <v>-7.269606154492343E-3</v>
      </c>
      <c r="E146" s="2">
        <f t="shared" si="14"/>
        <v>-2.0384132990396434E-2</v>
      </c>
      <c r="F146" s="2">
        <f t="shared" si="13"/>
        <v>0.13330818463476879</v>
      </c>
      <c r="G146" s="2">
        <f t="shared" si="10"/>
        <v>0.13330818463476879</v>
      </c>
    </row>
    <row r="147" spans="1:7" x14ac:dyDescent="0.25">
      <c r="A147" s="18">
        <v>2.88</v>
      </c>
      <c r="B147" s="2">
        <v>0.10487</v>
      </c>
      <c r="C147" s="2">
        <f t="shared" si="11"/>
        <v>-20.974</v>
      </c>
      <c r="D147" s="2">
        <f t="shared" si="12"/>
        <v>-7.9794428459845374E-3</v>
      </c>
      <c r="E147" s="2">
        <f t="shared" si="14"/>
        <v>-1.9078999133652547E-2</v>
      </c>
      <c r="F147" s="2">
        <f t="shared" si="13"/>
        <v>0.13451328537953181</v>
      </c>
      <c r="G147" s="2">
        <f t="shared" si="10"/>
        <v>0.13451328537953181</v>
      </c>
    </row>
    <row r="148" spans="1:7" x14ac:dyDescent="0.25">
      <c r="A148" s="18">
        <v>2.9</v>
      </c>
      <c r="B148" s="2">
        <v>5.8950000000000002E-2</v>
      </c>
      <c r="C148" s="2">
        <f t="shared" si="11"/>
        <v>-11.790000000000001</v>
      </c>
      <c r="D148" s="2">
        <f t="shared" si="12"/>
        <v>-8.6354742233249182E-3</v>
      </c>
      <c r="E148" s="2">
        <f t="shared" si="14"/>
        <v>-1.774591728730486E-2</v>
      </c>
      <c r="F148" s="2">
        <f t="shared" si="13"/>
        <v>0.20011422669974008</v>
      </c>
      <c r="G148" s="2">
        <f t="shared" si="10"/>
        <v>0.20011422669974008</v>
      </c>
    </row>
    <row r="149" spans="1:7" x14ac:dyDescent="0.25">
      <c r="A149" s="18">
        <v>2.92</v>
      </c>
      <c r="B149" s="2">
        <v>1.303E-2</v>
      </c>
      <c r="C149" s="2">
        <f t="shared" si="11"/>
        <v>-2.6059999999999999</v>
      </c>
      <c r="D149" s="2">
        <f t="shared" si="12"/>
        <v>-9.211459909985403E-3</v>
      </c>
      <c r="E149" s="2">
        <f t="shared" si="14"/>
        <v>-1.6400784433509518E-2</v>
      </c>
      <c r="F149" s="2">
        <f t="shared" si="13"/>
        <v>0.26331379729956345</v>
      </c>
      <c r="G149" s="2">
        <f t="shared" si="10"/>
        <v>0.26331379729956345</v>
      </c>
    </row>
    <row r="150" spans="1:7" x14ac:dyDescent="0.25">
      <c r="A150" s="18">
        <v>2.94</v>
      </c>
      <c r="B150" s="2">
        <v>-3.2890000000000003E-2</v>
      </c>
      <c r="C150" s="2">
        <f t="shared" si="11"/>
        <v>6.5780000000000003</v>
      </c>
      <c r="D150" s="2">
        <f t="shared" si="12"/>
        <v>-9.6821200777260624E-3</v>
      </c>
      <c r="E150" s="2">
        <f t="shared" si="14"/>
        <v>-1.4399642166512119E-2</v>
      </c>
      <c r="F150" s="2">
        <f t="shared" si="13"/>
        <v>0.32335360233178012</v>
      </c>
      <c r="G150" s="2">
        <f t="shared" si="10"/>
        <v>0.32335360233178012</v>
      </c>
    </row>
    <row r="151" spans="1:7" x14ac:dyDescent="0.25">
      <c r="A151" s="18">
        <v>2.96</v>
      </c>
      <c r="B151" s="2">
        <v>-7.8820000000000001E-2</v>
      </c>
      <c r="C151" s="2">
        <f t="shared" si="11"/>
        <v>15.763999999999999</v>
      </c>
      <c r="D151" s="2">
        <f t="shared" si="12"/>
        <v>-1.002343880453401E-2</v>
      </c>
      <c r="E151" s="2">
        <f t="shared" si="14"/>
        <v>-1.1766504193516485E-2</v>
      </c>
      <c r="F151" s="2">
        <f t="shared" si="13"/>
        <v>0.37952316413601866</v>
      </c>
      <c r="G151" s="2">
        <f t="shared" si="10"/>
        <v>0.37952316413601866</v>
      </c>
    </row>
    <row r="152" spans="1:7" x14ac:dyDescent="0.25">
      <c r="A152" s="18">
        <v>2.98</v>
      </c>
      <c r="B152" s="2">
        <v>-3.5560000000000001E-2</v>
      </c>
      <c r="C152" s="2">
        <f t="shared" si="11"/>
        <v>7.1120000000000001</v>
      </c>
      <c r="D152" s="2">
        <f t="shared" si="12"/>
        <v>-1.021294826568755E-2</v>
      </c>
      <c r="E152" s="2">
        <f t="shared" si="14"/>
        <v>-8.5329681701986834E-3</v>
      </c>
      <c r="F152" s="2">
        <f t="shared" si="13"/>
        <v>0.34194844797062574</v>
      </c>
      <c r="G152" s="2">
        <f t="shared" si="10"/>
        <v>0.34194844797062574</v>
      </c>
    </row>
    <row r="153" spans="1:7" x14ac:dyDescent="0.25">
      <c r="A153" s="18">
        <v>3</v>
      </c>
      <c r="B153" s="2">
        <v>7.7099999999999998E-3</v>
      </c>
      <c r="C153" s="2">
        <f t="shared" si="11"/>
        <v>-1.542</v>
      </c>
      <c r="D153" s="2">
        <f t="shared" si="12"/>
        <v>-1.0265678347652839E-2</v>
      </c>
      <c r="E153" s="2">
        <f t="shared" si="14"/>
        <v>-4.7377365288384966E-3</v>
      </c>
      <c r="F153" s="2">
        <f t="shared" si="13"/>
        <v>0.30026035042958821</v>
      </c>
      <c r="G153" s="2">
        <f t="shared" si="10"/>
        <v>0.30026035042958821</v>
      </c>
    </row>
    <row r="154" spans="1:7" x14ac:dyDescent="0.25">
      <c r="A154" s="18">
        <v>3.02</v>
      </c>
      <c r="B154" s="2">
        <v>5.0970000000000001E-2</v>
      </c>
      <c r="C154" s="2">
        <f t="shared" si="11"/>
        <v>-10.194000000000001</v>
      </c>
      <c r="D154" s="2">
        <f t="shared" si="12"/>
        <v>-1.0198304289446293E-2</v>
      </c>
      <c r="E154" s="2">
        <f t="shared" si="14"/>
        <v>-1.3182520491322389E-3</v>
      </c>
      <c r="F154" s="2">
        <f t="shared" si="13"/>
        <v>0.25497912868339706</v>
      </c>
      <c r="G154" s="2">
        <f t="shared" si="10"/>
        <v>0.25497912868339706</v>
      </c>
    </row>
    <row r="155" spans="1:7" x14ac:dyDescent="0.25">
      <c r="A155" s="18">
        <v>3.04</v>
      </c>
      <c r="B155" s="2">
        <v>1.013E-2</v>
      </c>
      <c r="C155" s="2">
        <f t="shared" si="11"/>
        <v>-2.0259999999999998</v>
      </c>
      <c r="D155" s="2">
        <f t="shared" si="12"/>
        <v>-1.0028938579766389E-2</v>
      </c>
      <c r="E155" s="2">
        <f t="shared" si="14"/>
        <v>1.6843514551636435E-3</v>
      </c>
      <c r="F155" s="2">
        <f t="shared" si="13"/>
        <v>0.29073815739300013</v>
      </c>
      <c r="G155" s="2">
        <f t="shared" si="10"/>
        <v>0.29073815739300013</v>
      </c>
    </row>
    <row r="156" spans="1:7" x14ac:dyDescent="0.25">
      <c r="A156" s="18">
        <v>3.06</v>
      </c>
      <c r="B156" s="2">
        <v>-3.0710000000000001E-2</v>
      </c>
      <c r="C156" s="2">
        <f t="shared" si="11"/>
        <v>6.1420000000000003</v>
      </c>
      <c r="D156" s="2">
        <f t="shared" si="12"/>
        <v>-9.7432776071292842E-3</v>
      </c>
      <c r="E156" s="2">
        <f t="shared" si="14"/>
        <v>4.2341427419976142E-3</v>
      </c>
      <c r="F156" s="2">
        <f t="shared" si="13"/>
        <v>0.32300832821388104</v>
      </c>
      <c r="G156" s="2">
        <f t="shared" si="10"/>
        <v>0.32300832821388104</v>
      </c>
    </row>
    <row r="157" spans="1:7" x14ac:dyDescent="0.25">
      <c r="A157" s="18">
        <v>3.08</v>
      </c>
      <c r="B157" s="2">
        <v>-7.1559999999999999E-2</v>
      </c>
      <c r="C157" s="2">
        <f t="shared" si="11"/>
        <v>14.311999999999999</v>
      </c>
      <c r="D157" s="2">
        <f t="shared" si="12"/>
        <v>-9.3284133032066271E-3</v>
      </c>
      <c r="E157" s="2">
        <f t="shared" si="14"/>
        <v>7.1415243159276155E-3</v>
      </c>
      <c r="F157" s="2">
        <f t="shared" si="13"/>
        <v>0.35141239909619765</v>
      </c>
      <c r="G157" s="2">
        <f t="shared" si="10"/>
        <v>0.35141239909619765</v>
      </c>
    </row>
    <row r="158" spans="1:7" x14ac:dyDescent="0.25">
      <c r="A158" s="18">
        <v>3.1</v>
      </c>
      <c r="B158" s="2">
        <v>-0.1124</v>
      </c>
      <c r="C158" s="2">
        <f t="shared" si="11"/>
        <v>22.48</v>
      </c>
      <c r="D158" s="2">
        <f t="shared" si="12"/>
        <v>-8.772984039645491E-3</v>
      </c>
      <c r="E158" s="2">
        <f t="shared" si="14"/>
        <v>1.0371607598066426E-2</v>
      </c>
      <c r="F158" s="2">
        <f t="shared" si="13"/>
        <v>0.37558952118935812</v>
      </c>
      <c r="G158" s="2">
        <f t="shared" si="10"/>
        <v>0.37558952118935812</v>
      </c>
    </row>
    <row r="159" spans="1:7" x14ac:dyDescent="0.25">
      <c r="A159" s="18">
        <v>3.12</v>
      </c>
      <c r="B159" s="2">
        <v>-0.15323999999999999</v>
      </c>
      <c r="C159" s="2">
        <f t="shared" si="11"/>
        <v>30.647999999999996</v>
      </c>
      <c r="D159" s="2">
        <f t="shared" si="12"/>
        <v>-8.0673189676086117E-3</v>
      </c>
      <c r="E159" s="2">
        <f t="shared" si="14"/>
        <v>1.3885731589028403E-2</v>
      </c>
      <c r="F159" s="2">
        <f t="shared" si="13"/>
        <v>0.39525956902825965</v>
      </c>
      <c r="G159" s="2">
        <f t="shared" si="10"/>
        <v>0.39525956902825965</v>
      </c>
    </row>
    <row r="160" spans="1:7" x14ac:dyDescent="0.25">
      <c r="A160" s="18">
        <v>3.14</v>
      </c>
      <c r="B160" s="2">
        <v>-0.11314</v>
      </c>
      <c r="C160" s="2">
        <f t="shared" si="11"/>
        <v>22.628</v>
      </c>
      <c r="D160" s="2">
        <f t="shared" si="12"/>
        <v>-7.2035500679604285E-3</v>
      </c>
      <c r="E160" s="2">
        <f t="shared" si="14"/>
        <v>1.7641626800921982E-2</v>
      </c>
      <c r="F160" s="2">
        <f t="shared" si="13"/>
        <v>0.32924650203880901</v>
      </c>
      <c r="G160" s="2">
        <f t="shared" si="10"/>
        <v>0.32924650203880901</v>
      </c>
    </row>
    <row r="161" spans="1:7" x14ac:dyDescent="0.25">
      <c r="A161" s="18">
        <v>3.16</v>
      </c>
      <c r="B161" s="2">
        <v>-7.3039999999999994E-2</v>
      </c>
      <c r="C161" s="2">
        <f t="shared" si="11"/>
        <v>14.607999999999999</v>
      </c>
      <c r="D161" s="2">
        <f t="shared" si="12"/>
        <v>-6.2080825674967217E-3</v>
      </c>
      <c r="E161" s="2">
        <f t="shared" si="14"/>
        <v>2.159422249120458E-2</v>
      </c>
      <c r="F161" s="2">
        <f t="shared" si="13"/>
        <v>0.25928247702490176</v>
      </c>
      <c r="G161" s="2">
        <f t="shared" si="10"/>
        <v>0.25928247702490176</v>
      </c>
    </row>
    <row r="162" spans="1:7" x14ac:dyDescent="0.25">
      <c r="A162" s="18">
        <v>3.18</v>
      </c>
      <c r="B162" s="2">
        <v>-3.2939999999999997E-2</v>
      </c>
      <c r="C162" s="2">
        <f t="shared" si="11"/>
        <v>6.5879999999999992</v>
      </c>
      <c r="D162" s="2">
        <f t="shared" si="12"/>
        <v>-5.1089020762230541E-3</v>
      </c>
      <c r="E162" s="2">
        <f t="shared" si="14"/>
        <v>2.4886687511592669E-2</v>
      </c>
      <c r="F162" s="2">
        <f t="shared" si="13"/>
        <v>0.18620706228669084</v>
      </c>
      <c r="G162" s="2">
        <f t="shared" si="10"/>
        <v>0.18620706228669084</v>
      </c>
    </row>
    <row r="163" spans="1:7" x14ac:dyDescent="0.25">
      <c r="A163" s="18">
        <v>3.2</v>
      </c>
      <c r="B163" s="2">
        <v>7.1500000000000001E-3</v>
      </c>
      <c r="C163" s="2">
        <f t="shared" si="11"/>
        <v>-1.43</v>
      </c>
      <c r="D163" s="2">
        <f t="shared" si="12"/>
        <v>-3.9352387600347103E-3</v>
      </c>
      <c r="E163" s="2">
        <f t="shared" si="14"/>
        <v>2.7479512281841686E-2</v>
      </c>
      <c r="F163" s="2">
        <f t="shared" si="13"/>
        <v>0.11090716280104081</v>
      </c>
      <c r="G163" s="2">
        <f t="shared" si="10"/>
        <v>0.11090716280104081</v>
      </c>
    </row>
    <row r="164" spans="1:7" x14ac:dyDescent="0.25">
      <c r="A164" s="18">
        <v>3.22</v>
      </c>
      <c r="B164" s="2">
        <v>-6.3500000000000001E-2</v>
      </c>
      <c r="C164" s="2">
        <f t="shared" si="11"/>
        <v>12.7</v>
      </c>
      <c r="D164" s="2">
        <f t="shared" si="12"/>
        <v>-2.7172125787259501E-3</v>
      </c>
      <c r="E164" s="2">
        <f t="shared" si="14"/>
        <v>2.9341582904708598E-2</v>
      </c>
      <c r="F164" s="2">
        <f t="shared" si="13"/>
        <v>0.14501637736177764</v>
      </c>
      <c r="G164" s="2">
        <f t="shared" si="10"/>
        <v>0.14501637736177764</v>
      </c>
    </row>
    <row r="165" spans="1:7" x14ac:dyDescent="0.25">
      <c r="A165" s="18">
        <v>3.24</v>
      </c>
      <c r="B165" s="2">
        <v>-0.13414999999999999</v>
      </c>
      <c r="C165" s="2">
        <f t="shared" si="11"/>
        <v>26.83</v>
      </c>
      <c r="D165" s="2">
        <f t="shared" si="12"/>
        <v>-1.4411798464724788E-3</v>
      </c>
      <c r="E165" s="2">
        <f t="shared" si="14"/>
        <v>3.0450654532719005E-2</v>
      </c>
      <c r="F165" s="2">
        <f t="shared" si="13"/>
        <v>0.17738539539417386</v>
      </c>
      <c r="G165" s="2">
        <f t="shared" si="10"/>
        <v>0.17738539539417386</v>
      </c>
    </row>
    <row r="166" spans="1:7" x14ac:dyDescent="0.25">
      <c r="A166" s="18">
        <v>3.26</v>
      </c>
      <c r="B166" s="2">
        <v>-0.20480000000000001</v>
      </c>
      <c r="C166" s="2">
        <f t="shared" si="11"/>
        <v>40.96</v>
      </c>
      <c r="D166" s="2">
        <f t="shared" si="12"/>
        <v>-9.4192956061338003E-5</v>
      </c>
      <c r="E166" s="2">
        <f t="shared" si="14"/>
        <v>3.190081830633678E-2</v>
      </c>
      <c r="F166" s="2">
        <f t="shared" si="13"/>
        <v>0.20762578868184034</v>
      </c>
      <c r="G166" s="2">
        <f t="shared" si="10"/>
        <v>0.20762578868184034</v>
      </c>
    </row>
    <row r="167" spans="1:7" x14ac:dyDescent="0.25">
      <c r="A167" s="18">
        <v>3.28</v>
      </c>
      <c r="B167" s="2">
        <v>-0.12482</v>
      </c>
      <c r="C167" s="2">
        <f t="shared" si="11"/>
        <v>24.963999999999999</v>
      </c>
      <c r="D167" s="2">
        <f t="shared" si="12"/>
        <v>1.3358442498225388E-3</v>
      </c>
      <c r="E167" s="2">
        <f t="shared" si="14"/>
        <v>3.3674672260278517E-2</v>
      </c>
      <c r="F167" s="2">
        <f t="shared" si="13"/>
        <v>8.4744672505323873E-2</v>
      </c>
      <c r="G167" s="2">
        <f t="shared" si="10"/>
        <v>8.4744672505323873E-2</v>
      </c>
    </row>
    <row r="168" spans="1:7" x14ac:dyDescent="0.25">
      <c r="A168" s="18">
        <v>3.3</v>
      </c>
      <c r="B168" s="2">
        <v>-4.4850000000000001E-2</v>
      </c>
      <c r="C168" s="2">
        <f t="shared" si="11"/>
        <v>8.9700000000000006</v>
      </c>
      <c r="D168" s="2">
        <f t="shared" si="12"/>
        <v>2.7997793247085453E-3</v>
      </c>
      <c r="E168" s="2">
        <f t="shared" si="14"/>
        <v>3.5750930147096918E-2</v>
      </c>
      <c r="F168" s="2">
        <f t="shared" si="13"/>
        <v>-3.9143379741257263E-2</v>
      </c>
      <c r="G168" s="2">
        <f t="shared" si="10"/>
        <v>-3.9143379741257263E-2</v>
      </c>
    </row>
    <row r="169" spans="1:7" x14ac:dyDescent="0.25">
      <c r="A169" s="18">
        <v>3.32</v>
      </c>
      <c r="B169" s="2">
        <v>3.5130000000000002E-2</v>
      </c>
      <c r="C169" s="2">
        <f t="shared" si="11"/>
        <v>-7.0260000000000007</v>
      </c>
      <c r="D169" s="2">
        <f t="shared" si="12"/>
        <v>4.248057047698049E-3</v>
      </c>
      <c r="E169" s="2">
        <f t="shared" si="14"/>
        <v>3.659837687215016E-2</v>
      </c>
      <c r="F169" s="2">
        <f t="shared" si="13"/>
        <v>-0.16257171143093826</v>
      </c>
      <c r="G169" s="2">
        <f t="shared" si="10"/>
        <v>-0.16257171143093826</v>
      </c>
    </row>
    <row r="170" spans="1:7" x14ac:dyDescent="0.25">
      <c r="A170" s="18">
        <v>3.34</v>
      </c>
      <c r="B170" s="2">
        <v>0.11509999999999999</v>
      </c>
      <c r="C170" s="2">
        <f t="shared" si="11"/>
        <v>-23.02</v>
      </c>
      <c r="D170" s="2">
        <f t="shared" si="12"/>
        <v>5.6313060861151775E-3</v>
      </c>
      <c r="E170" s="2">
        <f t="shared" si="14"/>
        <v>3.6206943074737596E-2</v>
      </c>
      <c r="F170" s="2">
        <f t="shared" si="13"/>
        <v>-0.28403918258345856</v>
      </c>
      <c r="G170" s="2">
        <f t="shared" si="10"/>
        <v>-0.28403918258345856</v>
      </c>
    </row>
    <row r="171" spans="1:7" x14ac:dyDescent="0.25">
      <c r="A171" s="18">
        <v>3.36</v>
      </c>
      <c r="B171" s="2">
        <v>0.19508</v>
      </c>
      <c r="C171" s="2">
        <f t="shared" si="11"/>
        <v>-39.015999999999998</v>
      </c>
      <c r="D171" s="2">
        <f t="shared" si="12"/>
        <v>6.9009394514989225E-3</v>
      </c>
      <c r="E171" s="2">
        <f t="shared" si="14"/>
        <v>3.4581225960428209E-2</v>
      </c>
      <c r="F171" s="2">
        <f t="shared" si="13"/>
        <v>-0.40210818354496303</v>
      </c>
      <c r="G171" s="2">
        <f t="shared" si="10"/>
        <v>-0.40210818354496303</v>
      </c>
    </row>
    <row r="172" spans="1:7" x14ac:dyDescent="0.25">
      <c r="A172" s="18">
        <v>3.38</v>
      </c>
      <c r="B172" s="2">
        <v>0.12300999999999999</v>
      </c>
      <c r="C172" s="2">
        <f t="shared" si="11"/>
        <v>-24.602</v>
      </c>
      <c r="D172" s="2">
        <f t="shared" si="12"/>
        <v>8.0097295434646814E-3</v>
      </c>
      <c r="E172" s="2">
        <f t="shared" si="14"/>
        <v>3.1740834134593623E-2</v>
      </c>
      <c r="F172" s="2">
        <f t="shared" si="13"/>
        <v>-0.36330188630393639</v>
      </c>
      <c r="G172" s="2">
        <f t="shared" si="10"/>
        <v>-0.36330188630393639</v>
      </c>
    </row>
    <row r="173" spans="1:7" x14ac:dyDescent="0.25">
      <c r="A173" s="18">
        <v>3.4</v>
      </c>
      <c r="B173" s="2">
        <v>5.0939999999999999E-2</v>
      </c>
      <c r="C173" s="2">
        <f t="shared" si="11"/>
        <v>-10.188000000000001</v>
      </c>
      <c r="D173" s="2">
        <f t="shared" si="12"/>
        <v>8.9731988809088649E-3</v>
      </c>
      <c r="E173" s="2">
        <f t="shared" si="14"/>
        <v>2.7719752299143974E-2</v>
      </c>
      <c r="F173" s="2">
        <f t="shared" si="13"/>
        <v>-0.32013596642726549</v>
      </c>
      <c r="G173" s="2">
        <f t="shared" si="10"/>
        <v>-0.32013596642726549</v>
      </c>
    </row>
    <row r="174" spans="1:7" x14ac:dyDescent="0.25">
      <c r="A174" s="18">
        <v>3.42</v>
      </c>
      <c r="B174" s="2">
        <v>-2.1129999999999999E-2</v>
      </c>
      <c r="C174" s="2">
        <f t="shared" si="11"/>
        <v>4.226</v>
      </c>
      <c r="D174" s="2">
        <f t="shared" si="12"/>
        <v>9.8086138317821422E-3</v>
      </c>
      <c r="E174" s="2">
        <f t="shared" si="14"/>
        <v>2.4086733436104586E-2</v>
      </c>
      <c r="F174" s="2">
        <f t="shared" si="13"/>
        <v>-0.27312841495346318</v>
      </c>
      <c r="G174" s="2">
        <f t="shared" si="10"/>
        <v>-0.27312841495346318</v>
      </c>
    </row>
    <row r="175" spans="1:7" x14ac:dyDescent="0.25">
      <c r="A175" s="18">
        <v>3.44</v>
      </c>
      <c r="B175" s="2">
        <v>-9.3200000000000005E-2</v>
      </c>
      <c r="C175" s="2">
        <f t="shared" si="11"/>
        <v>18.64</v>
      </c>
      <c r="D175" s="2">
        <f t="shared" si="12"/>
        <v>1.0534777416674034E-2</v>
      </c>
      <c r="E175" s="2">
        <f t="shared" si="14"/>
        <v>2.088537377183193E-2</v>
      </c>
      <c r="F175" s="2">
        <f t="shared" si="13"/>
        <v>-0.22284332250022651</v>
      </c>
      <c r="G175" s="2">
        <f t="shared" si="10"/>
        <v>-0.22284332250022651</v>
      </c>
    </row>
    <row r="176" spans="1:7" x14ac:dyDescent="0.25">
      <c r="A176" s="18">
        <v>3.46</v>
      </c>
      <c r="B176" s="2">
        <v>-2.6630000000000001E-2</v>
      </c>
      <c r="C176" s="2">
        <f t="shared" si="11"/>
        <v>5.3260000000000005</v>
      </c>
      <c r="D176" s="2">
        <f t="shared" si="12"/>
        <v>1.1171803672565836E-2</v>
      </c>
      <c r="E176" s="2">
        <f t="shared" si="14"/>
        <v>1.8154089622297299E-2</v>
      </c>
      <c r="F176" s="2">
        <f t="shared" si="13"/>
        <v>-0.30852411017698222</v>
      </c>
      <c r="G176" s="2">
        <f t="shared" si="10"/>
        <v>-0.30852411017698222</v>
      </c>
    </row>
    <row r="177" spans="1:7" x14ac:dyDescent="0.25">
      <c r="A177" s="18">
        <v>3.48</v>
      </c>
      <c r="B177" s="2">
        <v>3.9949999999999999E-2</v>
      </c>
      <c r="C177" s="2">
        <f t="shared" si="11"/>
        <v>-7.99</v>
      </c>
      <c r="D177" s="2">
        <f t="shared" si="12"/>
        <v>1.1685420284386844E-2</v>
      </c>
      <c r="E177" s="2">
        <f t="shared" si="14"/>
        <v>1.5925656397295034E-2</v>
      </c>
      <c r="F177" s="2">
        <f t="shared" si="13"/>
        <v>-0.39051260853160702</v>
      </c>
      <c r="G177" s="2">
        <f t="shared" si="10"/>
        <v>-0.39051260853160702</v>
      </c>
    </row>
    <row r="178" spans="1:7" x14ac:dyDescent="0.25">
      <c r="A178" s="18">
        <v>3.5</v>
      </c>
      <c r="B178" s="2">
        <v>0.10653</v>
      </c>
      <c r="C178" s="2">
        <f t="shared" si="11"/>
        <v>-21.306000000000001</v>
      </c>
      <c r="D178" s="2">
        <f t="shared" si="12"/>
        <v>1.204283185279521E-2</v>
      </c>
      <c r="E178" s="2">
        <f t="shared" si="14"/>
        <v>1.2840415295525213E-2</v>
      </c>
      <c r="F178" s="2">
        <f t="shared" si="13"/>
        <v>-0.46781495558386071</v>
      </c>
      <c r="G178" s="2">
        <f t="shared" si="10"/>
        <v>-0.46781495558386071</v>
      </c>
    </row>
    <row r="179" spans="1:7" x14ac:dyDescent="0.25">
      <c r="A179" s="18">
        <v>3.52</v>
      </c>
      <c r="B179" s="2">
        <v>0.17311000000000001</v>
      </c>
      <c r="C179" s="2">
        <f t="shared" si="11"/>
        <v>-34.622</v>
      </c>
      <c r="D179" s="2">
        <f t="shared" si="12"/>
        <v>1.2213117438970031E-2</v>
      </c>
      <c r="E179" s="2">
        <f t="shared" si="14"/>
        <v>8.9352892102091425E-3</v>
      </c>
      <c r="F179" s="2">
        <f t="shared" si="13"/>
        <v>-0.53950352316909678</v>
      </c>
      <c r="G179" s="2">
        <f t="shared" si="10"/>
        <v>-0.53950352316909678</v>
      </c>
    </row>
    <row r="180" spans="1:7" x14ac:dyDescent="0.25">
      <c r="A180" s="18">
        <v>3.54</v>
      </c>
      <c r="B180" s="2">
        <v>0.11283</v>
      </c>
      <c r="C180" s="2">
        <f t="shared" si="11"/>
        <v>-22.565999999999999</v>
      </c>
      <c r="D180" s="2">
        <f t="shared" si="12"/>
        <v>1.2167601615877214E-2</v>
      </c>
      <c r="E180" s="2">
        <f t="shared" si="14"/>
        <v>4.2571396543705353E-3</v>
      </c>
      <c r="F180" s="2">
        <f t="shared" si="13"/>
        <v>-0.47785804847631524</v>
      </c>
      <c r="G180" s="2">
        <f t="shared" si="10"/>
        <v>-0.47785804847631524</v>
      </c>
    </row>
    <row r="181" spans="1:7" x14ac:dyDescent="0.25">
      <c r="A181" s="18">
        <v>3.56</v>
      </c>
      <c r="B181" s="2">
        <v>5.2549999999999999E-2</v>
      </c>
      <c r="C181" s="2">
        <f t="shared" si="11"/>
        <v>-10.51</v>
      </c>
      <c r="D181" s="2">
        <f t="shared" si="12"/>
        <v>1.1930942573393871E-2</v>
      </c>
      <c r="E181" s="2">
        <f t="shared" si="14"/>
        <v>-1.1378955773204327E-3</v>
      </c>
      <c r="F181" s="2">
        <f t="shared" si="13"/>
        <v>-0.41047827720181673</v>
      </c>
      <c r="G181" s="2">
        <f t="shared" si="10"/>
        <v>-0.41047827720181673</v>
      </c>
    </row>
    <row r="182" spans="1:7" x14ac:dyDescent="0.25">
      <c r="A182" s="18">
        <v>3.58</v>
      </c>
      <c r="B182" s="2">
        <v>-7.7200000000000003E-3</v>
      </c>
      <c r="C182" s="2">
        <f t="shared" si="11"/>
        <v>1.544</v>
      </c>
      <c r="D182" s="2">
        <f t="shared" si="12"/>
        <v>1.15300922200298E-2</v>
      </c>
      <c r="E182" s="2">
        <f t="shared" si="14"/>
        <v>-5.9164760620835852E-3</v>
      </c>
      <c r="F182" s="2">
        <f t="shared" si="13"/>
        <v>-0.33818276660089064</v>
      </c>
      <c r="G182" s="2">
        <f t="shared" si="10"/>
        <v>-0.33818276660089064</v>
      </c>
    </row>
    <row r="183" spans="1:7" x14ac:dyDescent="0.25">
      <c r="A183" s="18">
        <v>3.6</v>
      </c>
      <c r="B183" s="2">
        <v>1.064E-2</v>
      </c>
      <c r="C183" s="2">
        <f t="shared" si="11"/>
        <v>-2.1280000000000001</v>
      </c>
      <c r="D183" s="2">
        <f t="shared" si="12"/>
        <v>1.0993968760025374E-2</v>
      </c>
      <c r="E183" s="2">
        <f t="shared" si="14"/>
        <v>-1.0021258834101753E-2</v>
      </c>
      <c r="F183" s="2">
        <f t="shared" si="13"/>
        <v>-0.34045906280076066</v>
      </c>
      <c r="G183" s="2">
        <f t="shared" si="10"/>
        <v>-0.34045906280076066</v>
      </c>
    </row>
    <row r="184" spans="1:7" x14ac:dyDescent="0.25">
      <c r="A184" s="18">
        <v>3.62</v>
      </c>
      <c r="B184" s="2">
        <v>2.9000000000000001E-2</v>
      </c>
      <c r="C184" s="2">
        <f t="shared" si="11"/>
        <v>-5.8000000000000007</v>
      </c>
      <c r="D184" s="2">
        <f t="shared" si="12"/>
        <v>1.0321661674900643E-2</v>
      </c>
      <c r="E184" s="2">
        <f t="shared" si="14"/>
        <v>-1.3403086500110659E-2</v>
      </c>
      <c r="F184" s="2">
        <f t="shared" si="13"/>
        <v>-0.33864985024701766</v>
      </c>
      <c r="G184" s="2">
        <f t="shared" si="10"/>
        <v>-0.33864985024701766</v>
      </c>
    </row>
    <row r="185" spans="1:7" x14ac:dyDescent="0.25">
      <c r="A185" s="18">
        <v>3.64</v>
      </c>
      <c r="B185" s="2">
        <v>4.7370000000000002E-2</v>
      </c>
      <c r="C185" s="2">
        <f t="shared" si="11"/>
        <v>-9.4740000000000002</v>
      </c>
      <c r="D185" s="2">
        <f t="shared" si="12"/>
        <v>9.5138946496771057E-3</v>
      </c>
      <c r="E185" s="2">
        <f t="shared" si="14"/>
        <v>-1.6807677128118266E-2</v>
      </c>
      <c r="F185" s="2">
        <f t="shared" si="13"/>
        <v>-0.3327868394903139</v>
      </c>
      <c r="G185" s="2">
        <f t="shared" si="10"/>
        <v>-0.3327868394903139</v>
      </c>
    </row>
    <row r="186" spans="1:7" x14ac:dyDescent="0.25">
      <c r="A186" s="18">
        <v>3.66</v>
      </c>
      <c r="B186" s="2">
        <v>6.5729999999999997E-2</v>
      </c>
      <c r="C186" s="2">
        <f t="shared" si="11"/>
        <v>-13.145999999999999</v>
      </c>
      <c r="D186" s="2">
        <f t="shared" si="12"/>
        <v>8.5730128886574424E-3</v>
      </c>
      <c r="E186" s="2">
        <f t="shared" si="14"/>
        <v>-2.0194175630588441E-2</v>
      </c>
      <c r="F186" s="2">
        <f t="shared" si="13"/>
        <v>-0.32292038665972722</v>
      </c>
      <c r="G186" s="2">
        <f t="shared" si="10"/>
        <v>-0.32292038665972722</v>
      </c>
    </row>
    <row r="187" spans="1:7" x14ac:dyDescent="0.25">
      <c r="A187" s="18">
        <v>3.68</v>
      </c>
      <c r="B187" s="2">
        <v>2.0209999999999999E-2</v>
      </c>
      <c r="C187" s="2">
        <f t="shared" si="11"/>
        <v>-4.0419999999999998</v>
      </c>
      <c r="D187" s="2">
        <f t="shared" si="12"/>
        <v>7.5029629729738883E-3</v>
      </c>
      <c r="E187" s="2">
        <f t="shared" si="14"/>
        <v>-2.352204402549158E-2</v>
      </c>
      <c r="F187" s="2">
        <f t="shared" si="13"/>
        <v>-0.24529888918921675</v>
      </c>
      <c r="G187" s="2">
        <f t="shared" si="10"/>
        <v>-0.24529888918921675</v>
      </c>
    </row>
    <row r="188" spans="1:7" x14ac:dyDescent="0.25">
      <c r="A188" s="18">
        <v>3.7</v>
      </c>
      <c r="B188" s="2">
        <v>-2.53E-2</v>
      </c>
      <c r="C188" s="2">
        <f t="shared" si="11"/>
        <v>5.0599999999999996</v>
      </c>
      <c r="D188" s="2">
        <f t="shared" si="12"/>
        <v>6.3347935016146474E-3</v>
      </c>
      <c r="E188" s="2">
        <f t="shared" si="14"/>
        <v>-2.6751247892088853E-2</v>
      </c>
      <c r="F188" s="2">
        <f t="shared" si="13"/>
        <v>-0.16474380504843608</v>
      </c>
      <c r="G188" s="2">
        <f t="shared" si="10"/>
        <v>-0.16474380504843608</v>
      </c>
    </row>
    <row r="189" spans="1:7" x14ac:dyDescent="0.25">
      <c r="A189" s="18">
        <v>3.72</v>
      </c>
      <c r="B189" s="2">
        <v>-7.0809999999999998E-2</v>
      </c>
      <c r="C189" s="2">
        <f t="shared" si="11"/>
        <v>14.161999999999999</v>
      </c>
      <c r="D189" s="2">
        <f t="shared" si="12"/>
        <v>5.1007265082360321E-3</v>
      </c>
      <c r="E189" s="2">
        <f t="shared" si="14"/>
        <v>-2.920423678398102E-2</v>
      </c>
      <c r="F189" s="2">
        <f t="shared" si="13"/>
        <v>-8.2211795247078043E-2</v>
      </c>
      <c r="G189" s="2">
        <f t="shared" si="10"/>
        <v>-8.2211795247078043E-2</v>
      </c>
    </row>
    <row r="190" spans="1:7" x14ac:dyDescent="0.25">
      <c r="A190" s="18">
        <v>3.74</v>
      </c>
      <c r="B190" s="2">
        <v>-4.1070000000000002E-2</v>
      </c>
      <c r="C190" s="2">
        <f t="shared" si="11"/>
        <v>8.2140000000000004</v>
      </c>
      <c r="D190" s="2">
        <f t="shared" si="12"/>
        <v>3.8337747967585856E-3</v>
      </c>
      <c r="E190" s="2">
        <f t="shared" si="14"/>
        <v>-3.0851674834465381E-2</v>
      </c>
      <c r="F190" s="2">
        <f t="shared" si="13"/>
        <v>-7.3943243902757944E-2</v>
      </c>
      <c r="G190" s="2">
        <f t="shared" si="10"/>
        <v>-7.3943243902757944E-2</v>
      </c>
    </row>
    <row r="191" spans="1:7" x14ac:dyDescent="0.25">
      <c r="A191" s="18">
        <v>3.76</v>
      </c>
      <c r="B191" s="2">
        <v>-1.133E-2</v>
      </c>
      <c r="C191" s="2">
        <f t="shared" si="11"/>
        <v>2.266</v>
      </c>
      <c r="D191" s="2">
        <f t="shared" si="12"/>
        <v>2.5372457877200359E-3</v>
      </c>
      <c r="E191" s="2">
        <f t="shared" si="14"/>
        <v>-3.1673792786936161E-2</v>
      </c>
      <c r="F191" s="2">
        <f t="shared" si="13"/>
        <v>-6.4787373631600337E-2</v>
      </c>
      <c r="G191" s="2">
        <f t="shared" si="10"/>
        <v>-6.4787373631600337E-2</v>
      </c>
    </row>
    <row r="192" spans="1:7" x14ac:dyDescent="0.25">
      <c r="A192" s="18">
        <v>3.78</v>
      </c>
      <c r="B192" s="2">
        <v>2.8800000000000002E-3</v>
      </c>
      <c r="C192" s="2">
        <f t="shared" si="11"/>
        <v>-0.57600000000000007</v>
      </c>
      <c r="D192" s="2">
        <f t="shared" si="12"/>
        <v>1.2148018292288461E-3</v>
      </c>
      <c r="E192" s="2">
        <f t="shared" si="14"/>
        <v>-3.2413225225963745E-2</v>
      </c>
      <c r="F192" s="2">
        <f t="shared" si="13"/>
        <v>-3.932405487686514E-2</v>
      </c>
      <c r="G192" s="2">
        <f t="shared" si="10"/>
        <v>-3.932405487686514E-2</v>
      </c>
    </row>
    <row r="193" spans="1:7" x14ac:dyDescent="0.25">
      <c r="A193" s="18">
        <v>3.8</v>
      </c>
      <c r="B193" s="2">
        <v>1.7090000000000001E-2</v>
      </c>
      <c r="C193" s="2">
        <f t="shared" si="11"/>
        <v>-3.4180000000000001</v>
      </c>
      <c r="D193" s="2">
        <f t="shared" si="12"/>
        <v>-1.2337175121308975E-4</v>
      </c>
      <c r="E193" s="2">
        <f t="shared" si="14"/>
        <v>-3.3061098962279746E-2</v>
      </c>
      <c r="F193" s="2">
        <f t="shared" si="13"/>
        <v>-1.3388847463607348E-2</v>
      </c>
      <c r="G193" s="2">
        <f t="shared" si="10"/>
        <v>-1.3388847463607348E-2</v>
      </c>
    </row>
    <row r="194" spans="1:7" x14ac:dyDescent="0.25">
      <c r="A194" s="18">
        <v>3.82</v>
      </c>
      <c r="B194" s="2">
        <v>3.1309999999999998E-2</v>
      </c>
      <c r="C194" s="2">
        <f t="shared" si="11"/>
        <v>-6.2619999999999996</v>
      </c>
      <c r="D194" s="2">
        <f t="shared" si="12"/>
        <v>-1.4669008706404685E-3</v>
      </c>
      <c r="E194" s="2">
        <f t="shared" si="14"/>
        <v>-3.3454339511048398E-2</v>
      </c>
      <c r="F194" s="2">
        <f t="shared" si="13"/>
        <v>1.2697026119214746E-2</v>
      </c>
      <c r="G194" s="2">
        <f t="shared" ref="G194:G257" si="15">HLOOKUP($Y$3,$B$1:$F$1562,ROW(),0)</f>
        <v>1.2697026119214746E-2</v>
      </c>
    </row>
    <row r="195" spans="1:7" x14ac:dyDescent="0.25">
      <c r="A195" s="18">
        <v>3.84</v>
      </c>
      <c r="B195" s="2">
        <v>-2.2780000000000002E-2</v>
      </c>
      <c r="C195" s="2">
        <f t="shared" ref="C195:C258" si="16">-$M$4*B195</f>
        <v>4.556</v>
      </c>
      <c r="D195" s="2">
        <f t="shared" si="12"/>
        <v>-2.8053511796201614E-3</v>
      </c>
      <c r="E195" s="2">
        <f t="shared" si="14"/>
        <v>-3.358822798568447E-2</v>
      </c>
      <c r="F195" s="2">
        <f t="shared" si="13"/>
        <v>0.10694053538860522</v>
      </c>
      <c r="G195" s="2">
        <f t="shared" si="15"/>
        <v>0.10694053538860522</v>
      </c>
    </row>
    <row r="196" spans="1:7" x14ac:dyDescent="0.25">
      <c r="A196" s="18">
        <v>3.86</v>
      </c>
      <c r="B196" s="2">
        <v>-7.6859999999999998E-2</v>
      </c>
      <c r="C196" s="2">
        <f t="shared" si="16"/>
        <v>15.372</v>
      </c>
      <c r="D196" s="2">
        <f t="shared" ref="D196:D259" si="17">(C195-($Q$6*D195)-($Q$7*D194))/$Q$5</f>
        <v>-4.101025274444412E-3</v>
      </c>
      <c r="E196" s="2">
        <f t="shared" si="14"/>
        <v>-3.3461257724492321E-2</v>
      </c>
      <c r="F196" s="2">
        <f t="shared" ref="F196:F259" si="18">(D195-2*D196+D197)/($A$4^2)</f>
        <v>0.19989075823333058</v>
      </c>
      <c r="G196" s="2">
        <f t="shared" si="15"/>
        <v>0.19989075823333058</v>
      </c>
    </row>
    <row r="197" spans="1:7" x14ac:dyDescent="0.25">
      <c r="A197" s="18">
        <v>3.88</v>
      </c>
      <c r="B197" s="2">
        <v>-0.13095000000000001</v>
      </c>
      <c r="C197" s="2">
        <f t="shared" si="16"/>
        <v>26.19</v>
      </c>
      <c r="D197" s="2">
        <f t="shared" si="17"/>
        <v>-5.3167430659753299E-3</v>
      </c>
      <c r="E197" s="2">
        <f t="shared" ref="E197:E260" si="19">(D196-D195)/(2*$A$4)</f>
        <v>-3.2391852370606267E-2</v>
      </c>
      <c r="F197" s="2">
        <f t="shared" si="18"/>
        <v>0.29045229197925942</v>
      </c>
      <c r="G197" s="2">
        <f t="shared" si="15"/>
        <v>0.29045229197925942</v>
      </c>
    </row>
    <row r="198" spans="1:7" x14ac:dyDescent="0.25">
      <c r="A198" s="18">
        <v>3.9</v>
      </c>
      <c r="B198" s="2">
        <v>-0.18504000000000001</v>
      </c>
      <c r="C198" s="2">
        <f t="shared" si="16"/>
        <v>37.008000000000003</v>
      </c>
      <c r="D198" s="2">
        <f t="shared" si="17"/>
        <v>-6.416279940714544E-3</v>
      </c>
      <c r="E198" s="2">
        <f t="shared" si="19"/>
        <v>-3.0392944788272949E-2</v>
      </c>
      <c r="F198" s="2">
        <f t="shared" si="18"/>
        <v>0.37752839822143519</v>
      </c>
      <c r="G198" s="2">
        <f t="shared" si="15"/>
        <v>0.37752839822143519</v>
      </c>
    </row>
    <row r="199" spans="1:7" x14ac:dyDescent="0.25">
      <c r="A199" s="18">
        <v>3.92</v>
      </c>
      <c r="B199" s="2">
        <v>-0.14346999999999999</v>
      </c>
      <c r="C199" s="2">
        <f t="shared" si="16"/>
        <v>28.693999999999996</v>
      </c>
      <c r="D199" s="2">
        <f t="shared" si="17"/>
        <v>-7.3648054561651841E-3</v>
      </c>
      <c r="E199" s="2">
        <f t="shared" si="19"/>
        <v>-2.7488421868480353E-2</v>
      </c>
      <c r="F199" s="2">
        <f t="shared" si="18"/>
        <v>0.36441416368495572</v>
      </c>
      <c r="G199" s="2">
        <f t="shared" si="15"/>
        <v>0.36441416368495572</v>
      </c>
    </row>
    <row r="200" spans="1:7" x14ac:dyDescent="0.25">
      <c r="A200" s="18">
        <v>3.94</v>
      </c>
      <c r="B200" s="2">
        <v>-0.1019</v>
      </c>
      <c r="C200" s="2">
        <f t="shared" si="16"/>
        <v>20.380000000000003</v>
      </c>
      <c r="D200" s="2">
        <f t="shared" si="17"/>
        <v>-8.1675653061418409E-3</v>
      </c>
      <c r="E200" s="2">
        <f t="shared" si="19"/>
        <v>-2.3713137886266E-2</v>
      </c>
      <c r="F200" s="2">
        <f t="shared" si="18"/>
        <v>0.34692695918425542</v>
      </c>
      <c r="G200" s="2">
        <f t="shared" si="15"/>
        <v>0.34692695918425542</v>
      </c>
    </row>
    <row r="201" spans="1:7" x14ac:dyDescent="0.25">
      <c r="A201" s="18">
        <v>3.96</v>
      </c>
      <c r="B201" s="2">
        <v>-6.0339999999999998E-2</v>
      </c>
      <c r="C201" s="2">
        <f t="shared" si="16"/>
        <v>12.068</v>
      </c>
      <c r="D201" s="2">
        <f t="shared" si="17"/>
        <v>-8.8315543724447956E-3</v>
      </c>
      <c r="E201" s="2">
        <f t="shared" si="19"/>
        <v>-2.006899624941642E-2</v>
      </c>
      <c r="F201" s="2">
        <f t="shared" si="18"/>
        <v>0.32528663117334028</v>
      </c>
      <c r="G201" s="2">
        <f t="shared" si="15"/>
        <v>0.32528663117334028</v>
      </c>
    </row>
    <row r="202" spans="1:7" x14ac:dyDescent="0.25">
      <c r="A202" s="18">
        <v>3.98</v>
      </c>
      <c r="B202" s="2">
        <v>-1.8769999999999998E-2</v>
      </c>
      <c r="C202" s="2">
        <f t="shared" si="16"/>
        <v>3.7539999999999996</v>
      </c>
      <c r="D202" s="2">
        <f t="shared" si="17"/>
        <v>-9.3654287862784142E-3</v>
      </c>
      <c r="E202" s="2">
        <f t="shared" si="19"/>
        <v>-1.6599726657573866E-2</v>
      </c>
      <c r="F202" s="2">
        <f t="shared" si="18"/>
        <v>0.29973286358835927</v>
      </c>
      <c r="G202" s="2">
        <f t="shared" si="15"/>
        <v>0.29973286358835927</v>
      </c>
    </row>
    <row r="203" spans="1:7" x14ac:dyDescent="0.25">
      <c r="A203" s="18">
        <v>4</v>
      </c>
      <c r="B203" s="2">
        <v>2.2800000000000001E-2</v>
      </c>
      <c r="C203" s="2">
        <f t="shared" si="16"/>
        <v>-4.5600000000000005</v>
      </c>
      <c r="D203" s="2">
        <f t="shared" si="17"/>
        <v>-9.7794100546766891E-3</v>
      </c>
      <c r="E203" s="2">
        <f t="shared" si="19"/>
        <v>-1.3346860345840464E-2</v>
      </c>
      <c r="F203" s="2">
        <f t="shared" si="18"/>
        <v>0.27058230164030572</v>
      </c>
      <c r="G203" s="2">
        <f t="shared" si="15"/>
        <v>0.27058230164030572</v>
      </c>
    </row>
    <row r="204" spans="1:7" x14ac:dyDescent="0.25">
      <c r="A204" s="18">
        <v>4.0199999999999996</v>
      </c>
      <c r="B204" s="2">
        <v>-9.9600000000000001E-3</v>
      </c>
      <c r="C204" s="2">
        <f t="shared" si="16"/>
        <v>1.992</v>
      </c>
      <c r="D204" s="2">
        <f t="shared" si="17"/>
        <v>-1.0085158402418842E-2</v>
      </c>
      <c r="E204" s="2">
        <f t="shared" si="19"/>
        <v>-1.0349531709956871E-2</v>
      </c>
      <c r="F204" s="2">
        <f t="shared" si="18"/>
        <v>0.31251475207256724</v>
      </c>
      <c r="G204" s="2">
        <f t="shared" si="15"/>
        <v>0.31251475207256724</v>
      </c>
    </row>
    <row r="205" spans="1:7" x14ac:dyDescent="0.25">
      <c r="A205" s="18">
        <v>4.04</v>
      </c>
      <c r="B205" s="2">
        <v>-4.2720000000000001E-2</v>
      </c>
      <c r="C205" s="2">
        <f t="shared" si="16"/>
        <v>8.5440000000000005</v>
      </c>
      <c r="D205" s="2">
        <f t="shared" si="17"/>
        <v>-1.0265900849331967E-2</v>
      </c>
      <c r="E205" s="2">
        <f t="shared" si="19"/>
        <v>-7.6437086935538141E-3</v>
      </c>
      <c r="F205" s="2">
        <f t="shared" si="18"/>
        <v>0.3506970254799589</v>
      </c>
      <c r="G205" s="2">
        <f t="shared" si="15"/>
        <v>0.3506970254799589</v>
      </c>
    </row>
    <row r="206" spans="1:7" x14ac:dyDescent="0.25">
      <c r="A206" s="18">
        <v>4.0599999999999996</v>
      </c>
      <c r="B206" s="2">
        <v>-2.147E-2</v>
      </c>
      <c r="C206" s="2">
        <f t="shared" si="16"/>
        <v>4.2939999999999996</v>
      </c>
      <c r="D206" s="2">
        <f t="shared" si="17"/>
        <v>-1.0306364486053109E-2</v>
      </c>
      <c r="E206" s="2">
        <f t="shared" si="19"/>
        <v>-4.5185611728281415E-3</v>
      </c>
      <c r="F206" s="2">
        <f t="shared" si="18"/>
        <v>0.33066093458159179</v>
      </c>
      <c r="G206" s="2">
        <f t="shared" si="15"/>
        <v>0.33066093458159179</v>
      </c>
    </row>
    <row r="207" spans="1:7" x14ac:dyDescent="0.25">
      <c r="A207" s="18">
        <v>4.08</v>
      </c>
      <c r="B207" s="2">
        <v>-2.1000000000000001E-4</v>
      </c>
      <c r="C207" s="2">
        <f t="shared" si="16"/>
        <v>4.2000000000000003E-2</v>
      </c>
      <c r="D207" s="2">
        <f t="shared" si="17"/>
        <v>-1.0214563748941615E-2</v>
      </c>
      <c r="E207" s="2">
        <f t="shared" si="19"/>
        <v>-1.0115909180285522E-3</v>
      </c>
      <c r="F207" s="2">
        <f t="shared" si="18"/>
        <v>0.30664691246825093</v>
      </c>
      <c r="G207" s="2">
        <f t="shared" si="15"/>
        <v>0.30664691246825093</v>
      </c>
    </row>
    <row r="208" spans="1:7" x14ac:dyDescent="0.25">
      <c r="A208" s="18">
        <v>4.0999999999999996</v>
      </c>
      <c r="B208" s="2">
        <v>2.104E-2</v>
      </c>
      <c r="C208" s="2">
        <f t="shared" si="16"/>
        <v>-4.2080000000000002</v>
      </c>
      <c r="D208" s="2">
        <f t="shared" si="17"/>
        <v>-1.000010424684282E-2</v>
      </c>
      <c r="E208" s="2">
        <f t="shared" si="19"/>
        <v>2.2950184277873657E-3</v>
      </c>
      <c r="F208" s="2">
        <f t="shared" si="18"/>
        <v>0.27896312740528262</v>
      </c>
      <c r="G208" s="2">
        <f t="shared" si="15"/>
        <v>0.27896312740528262</v>
      </c>
    </row>
    <row r="209" spans="1:7" x14ac:dyDescent="0.25">
      <c r="A209" s="18">
        <v>4.12</v>
      </c>
      <c r="B209" s="2">
        <v>-1.4590000000000001E-2</v>
      </c>
      <c r="C209" s="2">
        <f t="shared" si="16"/>
        <v>2.9180000000000001</v>
      </c>
      <c r="D209" s="2">
        <f t="shared" si="17"/>
        <v>-9.6740594937819117E-3</v>
      </c>
      <c r="E209" s="2">
        <f t="shared" si="19"/>
        <v>5.3614875524698753E-3</v>
      </c>
      <c r="F209" s="2">
        <f t="shared" si="18"/>
        <v>0.30481178481345755</v>
      </c>
      <c r="G209" s="2">
        <f t="shared" si="15"/>
        <v>0.30481178481345755</v>
      </c>
    </row>
    <row r="210" spans="1:7" x14ac:dyDescent="0.25">
      <c r="A210" s="18">
        <v>4.1399999999999997</v>
      </c>
      <c r="B210" s="2">
        <v>-5.0220000000000001E-2</v>
      </c>
      <c r="C210" s="2">
        <f t="shared" si="16"/>
        <v>10.044</v>
      </c>
      <c r="D210" s="2">
        <f t="shared" si="17"/>
        <v>-9.2260900267956206E-3</v>
      </c>
      <c r="E210" s="2">
        <f t="shared" si="19"/>
        <v>8.1511188265227016E-3</v>
      </c>
      <c r="F210" s="2">
        <f t="shared" si="18"/>
        <v>0.32700270080386962</v>
      </c>
      <c r="G210" s="2">
        <f t="shared" si="15"/>
        <v>0.32700270080386962</v>
      </c>
    </row>
    <row r="211" spans="1:7" x14ac:dyDescent="0.25">
      <c r="A211" s="18">
        <v>4.16</v>
      </c>
      <c r="B211" s="2">
        <v>-8.5849999999999996E-2</v>
      </c>
      <c r="C211" s="2">
        <f t="shared" si="16"/>
        <v>17.169999999999998</v>
      </c>
      <c r="D211" s="2">
        <f t="shared" si="17"/>
        <v>-8.6473194794877816E-3</v>
      </c>
      <c r="E211" s="2">
        <f t="shared" si="19"/>
        <v>1.1199236674657278E-2</v>
      </c>
      <c r="F211" s="2">
        <f t="shared" si="18"/>
        <v>0.3452695843846314</v>
      </c>
      <c r="G211" s="2">
        <f t="shared" si="15"/>
        <v>0.3452695843846314</v>
      </c>
    </row>
    <row r="212" spans="1:7" x14ac:dyDescent="0.25">
      <c r="A212" s="18">
        <v>4.18</v>
      </c>
      <c r="B212" s="2">
        <v>-0.12148</v>
      </c>
      <c r="C212" s="2">
        <f t="shared" si="16"/>
        <v>24.295999999999999</v>
      </c>
      <c r="D212" s="2">
        <f t="shared" si="17"/>
        <v>-7.9304410984260901E-3</v>
      </c>
      <c r="E212" s="2">
        <f t="shared" si="19"/>
        <v>1.4469263682695974E-2</v>
      </c>
      <c r="F212" s="2">
        <f t="shared" si="18"/>
        <v>0.35939323295278375</v>
      </c>
      <c r="G212" s="2">
        <f t="shared" si="15"/>
        <v>0.35939323295278375</v>
      </c>
    </row>
    <row r="213" spans="1:7" x14ac:dyDescent="0.25">
      <c r="A213" s="18">
        <v>4.2</v>
      </c>
      <c r="B213" s="2">
        <v>-0.15711</v>
      </c>
      <c r="C213" s="2">
        <f t="shared" si="16"/>
        <v>31.422000000000001</v>
      </c>
      <c r="D213" s="2">
        <f t="shared" si="17"/>
        <v>-7.069805424183285E-3</v>
      </c>
      <c r="E213" s="2">
        <f t="shared" si="19"/>
        <v>1.7921959526542287E-2</v>
      </c>
      <c r="F213" s="2">
        <f t="shared" si="18"/>
        <v>0.36920416272549594</v>
      </c>
      <c r="G213" s="2">
        <f t="shared" si="15"/>
        <v>0.36920416272549594</v>
      </c>
    </row>
    <row r="214" spans="1:7" x14ac:dyDescent="0.25">
      <c r="A214" s="18">
        <v>4.22</v>
      </c>
      <c r="B214" s="2">
        <v>-0.19273999999999999</v>
      </c>
      <c r="C214" s="2">
        <f t="shared" si="16"/>
        <v>38.548000000000002</v>
      </c>
      <c r="D214" s="2">
        <f t="shared" si="17"/>
        <v>-6.0614880848502816E-3</v>
      </c>
      <c r="E214" s="2">
        <f t="shared" si="19"/>
        <v>2.1515891856070127E-2</v>
      </c>
      <c r="F214" s="2">
        <f t="shared" si="18"/>
        <v>0.37458464254550577</v>
      </c>
      <c r="G214" s="2">
        <f t="shared" si="15"/>
        <v>0.37458464254550577</v>
      </c>
    </row>
    <row r="215" spans="1:7" x14ac:dyDescent="0.25">
      <c r="A215" s="18">
        <v>4.24</v>
      </c>
      <c r="B215" s="2">
        <v>-0.22836999999999999</v>
      </c>
      <c r="C215" s="2">
        <f t="shared" si="16"/>
        <v>45.673999999999999</v>
      </c>
      <c r="D215" s="2">
        <f t="shared" si="17"/>
        <v>-4.9033368884990759E-3</v>
      </c>
      <c r="E215" s="2">
        <f t="shared" si="19"/>
        <v>2.5207933483325087E-2</v>
      </c>
      <c r="F215" s="2">
        <f t="shared" si="18"/>
        <v>0.37547010665496994</v>
      </c>
      <c r="G215" s="2">
        <f t="shared" si="15"/>
        <v>0.37547010665496994</v>
      </c>
    </row>
    <row r="216" spans="1:7" x14ac:dyDescent="0.25">
      <c r="A216" s="18">
        <v>4.26</v>
      </c>
      <c r="B216" s="2">
        <v>-0.18145</v>
      </c>
      <c r="C216" s="2">
        <f t="shared" si="16"/>
        <v>36.29</v>
      </c>
      <c r="D216" s="2">
        <f t="shared" si="17"/>
        <v>-3.5949976494858821E-3</v>
      </c>
      <c r="E216" s="2">
        <f t="shared" si="19"/>
        <v>2.8953779908780144E-2</v>
      </c>
      <c r="F216" s="2">
        <f t="shared" si="18"/>
        <v>0.28929992948457633</v>
      </c>
      <c r="G216" s="2">
        <f t="shared" si="15"/>
        <v>0.28929992948457633</v>
      </c>
    </row>
    <row r="217" spans="1:7" x14ac:dyDescent="0.25">
      <c r="A217" s="18">
        <v>4.28</v>
      </c>
      <c r="B217" s="2">
        <v>-0.13453000000000001</v>
      </c>
      <c r="C217" s="2">
        <f t="shared" si="16"/>
        <v>26.906000000000002</v>
      </c>
      <c r="D217" s="2">
        <f t="shared" si="17"/>
        <v>-2.1709384386788579E-3</v>
      </c>
      <c r="E217" s="2">
        <f t="shared" si="19"/>
        <v>3.2708480975329843E-2</v>
      </c>
      <c r="F217" s="2">
        <f t="shared" si="18"/>
        <v>0.19965815316036406</v>
      </c>
      <c r="G217" s="2">
        <f t="shared" si="15"/>
        <v>0.19965815316036406</v>
      </c>
    </row>
    <row r="218" spans="1:7" x14ac:dyDescent="0.25">
      <c r="A218" s="18">
        <v>4.3</v>
      </c>
      <c r="B218" s="2">
        <v>-8.7609999999999993E-2</v>
      </c>
      <c r="C218" s="2">
        <f t="shared" si="16"/>
        <v>17.521999999999998</v>
      </c>
      <c r="D218" s="2">
        <f t="shared" si="17"/>
        <v>-6.6701596660768796E-4</v>
      </c>
      <c r="E218" s="2">
        <f t="shared" si="19"/>
        <v>3.5601480270175609E-2</v>
      </c>
      <c r="F218" s="2">
        <f t="shared" si="18"/>
        <v>0.10762047899823095</v>
      </c>
      <c r="G218" s="2">
        <f t="shared" si="15"/>
        <v>0.10762047899823095</v>
      </c>
    </row>
    <row r="219" spans="1:7" x14ac:dyDescent="0.25">
      <c r="A219" s="18">
        <v>4.32</v>
      </c>
      <c r="B219" s="2">
        <v>-4.0689999999999997E-2</v>
      </c>
      <c r="C219" s="2">
        <f t="shared" si="16"/>
        <v>8.1379999999999999</v>
      </c>
      <c r="D219" s="2">
        <f t="shared" si="17"/>
        <v>8.7995469706277432E-4</v>
      </c>
      <c r="E219" s="2">
        <f t="shared" si="19"/>
        <v>3.7598061801779249E-2</v>
      </c>
      <c r="F219" s="2">
        <f t="shared" si="18"/>
        <v>1.429135908811714E-2</v>
      </c>
      <c r="G219" s="2">
        <f t="shared" si="15"/>
        <v>1.429135908811714E-2</v>
      </c>
    </row>
    <row r="220" spans="1:7" x14ac:dyDescent="0.25">
      <c r="A220" s="18">
        <v>4.34</v>
      </c>
      <c r="B220" s="2">
        <v>6.2300000000000003E-3</v>
      </c>
      <c r="C220" s="2">
        <f t="shared" si="16"/>
        <v>-1.246</v>
      </c>
      <c r="D220" s="2">
        <f t="shared" si="17"/>
        <v>2.4326419043684835E-3</v>
      </c>
      <c r="E220" s="2">
        <f t="shared" si="19"/>
        <v>3.8674266591761555E-2</v>
      </c>
      <c r="F220" s="2">
        <f t="shared" si="18"/>
        <v>-7.920925713105581E-2</v>
      </c>
      <c r="G220" s="2">
        <f t="shared" si="15"/>
        <v>-7.920925713105581E-2</v>
      </c>
    </row>
    <row r="221" spans="1:7" x14ac:dyDescent="0.25">
      <c r="A221" s="18">
        <v>4.3600000000000003</v>
      </c>
      <c r="B221" s="2">
        <v>5.3159999999999999E-2</v>
      </c>
      <c r="C221" s="2">
        <f t="shared" si="16"/>
        <v>-10.632</v>
      </c>
      <c r="D221" s="2">
        <f t="shared" si="17"/>
        <v>3.9536454088217703E-3</v>
      </c>
      <c r="E221" s="2">
        <f t="shared" si="19"/>
        <v>3.8817180182642727E-2</v>
      </c>
      <c r="F221" s="2">
        <f t="shared" si="18"/>
        <v>-0.17176936226465317</v>
      </c>
      <c r="G221" s="2">
        <f t="shared" si="15"/>
        <v>-0.17176936226465317</v>
      </c>
    </row>
    <row r="222" spans="1:7" x14ac:dyDescent="0.25">
      <c r="A222" s="18">
        <v>4.38</v>
      </c>
      <c r="B222" s="2">
        <v>0.10008</v>
      </c>
      <c r="C222" s="2">
        <f t="shared" si="16"/>
        <v>-20.016000000000002</v>
      </c>
      <c r="D222" s="2">
        <f t="shared" si="17"/>
        <v>5.4059411683691954E-3</v>
      </c>
      <c r="E222" s="2">
        <f t="shared" si="19"/>
        <v>3.8025087611332171E-2</v>
      </c>
      <c r="F222" s="2">
        <f t="shared" si="18"/>
        <v>-0.26225823505107365</v>
      </c>
      <c r="G222" s="2">
        <f t="shared" si="15"/>
        <v>-0.26225823505107365</v>
      </c>
    </row>
    <row r="223" spans="1:7" x14ac:dyDescent="0.25">
      <c r="A223" s="18">
        <v>4.4000000000000004</v>
      </c>
      <c r="B223" s="2">
        <v>0.14699999999999999</v>
      </c>
      <c r="C223" s="2">
        <f t="shared" si="16"/>
        <v>-29.4</v>
      </c>
      <c r="D223" s="2">
        <f t="shared" si="17"/>
        <v>6.753333633896191E-3</v>
      </c>
      <c r="E223" s="2">
        <f t="shared" si="19"/>
        <v>3.6307393988685627E-2</v>
      </c>
      <c r="F223" s="2">
        <f t="shared" si="18"/>
        <v>-0.34960000901688121</v>
      </c>
      <c r="G223" s="2">
        <f t="shared" si="15"/>
        <v>-0.34960000901688121</v>
      </c>
    </row>
    <row r="224" spans="1:7" x14ac:dyDescent="0.25">
      <c r="A224" s="18">
        <v>4.42</v>
      </c>
      <c r="B224" s="2">
        <v>9.7540000000000002E-2</v>
      </c>
      <c r="C224" s="2">
        <f t="shared" si="16"/>
        <v>-19.507999999999999</v>
      </c>
      <c r="D224" s="2">
        <f t="shared" si="17"/>
        <v>7.960886095816435E-3</v>
      </c>
      <c r="E224" s="2">
        <f t="shared" si="19"/>
        <v>3.368481163817489E-2</v>
      </c>
      <c r="F224" s="2">
        <f t="shared" si="18"/>
        <v>-0.33636658287449372</v>
      </c>
      <c r="G224" s="2">
        <f t="shared" si="15"/>
        <v>-0.33636658287449372</v>
      </c>
    </row>
    <row r="225" spans="1:7" x14ac:dyDescent="0.25">
      <c r="A225" s="18">
        <v>4.4400000000000004</v>
      </c>
      <c r="B225" s="2">
        <v>4.8079999999999998E-2</v>
      </c>
      <c r="C225" s="2">
        <f t="shared" si="16"/>
        <v>-9.6159999999999997</v>
      </c>
      <c r="D225" s="2">
        <f t="shared" si="17"/>
        <v>9.0338919245868815E-3</v>
      </c>
      <c r="E225" s="2">
        <f t="shared" si="19"/>
        <v>3.0188811548006098E-2</v>
      </c>
      <c r="F225" s="2">
        <f t="shared" si="18"/>
        <v>-0.31909675773760404</v>
      </c>
      <c r="G225" s="2">
        <f t="shared" si="15"/>
        <v>-0.31909675773760404</v>
      </c>
    </row>
    <row r="226" spans="1:7" x14ac:dyDescent="0.25">
      <c r="A226" s="18">
        <v>4.46</v>
      </c>
      <c r="B226" s="2">
        <v>-1.3799999999999999E-3</v>
      </c>
      <c r="C226" s="2">
        <f t="shared" si="16"/>
        <v>0.27599999999999997</v>
      </c>
      <c r="D226" s="2">
        <f t="shared" si="17"/>
        <v>9.9792590502622864E-3</v>
      </c>
      <c r="E226" s="2">
        <f t="shared" si="19"/>
        <v>2.6825145719261163E-2</v>
      </c>
      <c r="F226" s="2">
        <f t="shared" si="18"/>
        <v>-0.29799777150787354</v>
      </c>
      <c r="G226" s="2">
        <f t="shared" si="15"/>
        <v>-0.29799777150787354</v>
      </c>
    </row>
    <row r="227" spans="1:7" x14ac:dyDescent="0.25">
      <c r="A227" s="18">
        <v>4.4800000000000004</v>
      </c>
      <c r="B227" s="2">
        <v>5.1409999999999997E-2</v>
      </c>
      <c r="C227" s="2">
        <f t="shared" si="16"/>
        <v>-10.282</v>
      </c>
      <c r="D227" s="2">
        <f t="shared" si="17"/>
        <v>1.0805427067334542E-2</v>
      </c>
      <c r="E227" s="2">
        <f t="shared" si="19"/>
        <v>2.363417814188512E-2</v>
      </c>
      <c r="F227" s="2">
        <f t="shared" si="18"/>
        <v>-0.37557281202003651</v>
      </c>
      <c r="G227" s="2">
        <f t="shared" si="15"/>
        <v>-0.37557281202003651</v>
      </c>
    </row>
    <row r="228" spans="1:7" x14ac:dyDescent="0.25">
      <c r="A228" s="18">
        <v>4.5</v>
      </c>
      <c r="B228" s="2">
        <v>0.1042</v>
      </c>
      <c r="C228" s="2">
        <f t="shared" si="16"/>
        <v>-20.84</v>
      </c>
      <c r="D228" s="2">
        <f t="shared" si="17"/>
        <v>1.1481365959598783E-2</v>
      </c>
      <c r="E228" s="2">
        <f t="shared" si="19"/>
        <v>2.0654200426806386E-2</v>
      </c>
      <c r="F228" s="2">
        <f t="shared" si="18"/>
        <v>-0.44864097878796139</v>
      </c>
      <c r="G228" s="2">
        <f t="shared" si="15"/>
        <v>-0.44864097878796139</v>
      </c>
    </row>
    <row r="229" spans="1:7" x14ac:dyDescent="0.25">
      <c r="A229" s="18">
        <v>4.5199999999999996</v>
      </c>
      <c r="B229" s="2">
        <v>0.15698999999999999</v>
      </c>
      <c r="C229" s="2">
        <f t="shared" si="16"/>
        <v>-31.398</v>
      </c>
      <c r="D229" s="2">
        <f t="shared" si="17"/>
        <v>1.1977848460347839E-2</v>
      </c>
      <c r="E229" s="2">
        <f t="shared" si="19"/>
        <v>1.689847230660602E-2</v>
      </c>
      <c r="F229" s="2">
        <f t="shared" si="18"/>
        <v>-0.51632545381043082</v>
      </c>
      <c r="G229" s="2">
        <f t="shared" si="15"/>
        <v>-0.51632545381043082</v>
      </c>
    </row>
    <row r="230" spans="1:7" x14ac:dyDescent="0.25">
      <c r="A230" s="18">
        <v>4.54</v>
      </c>
      <c r="B230" s="2">
        <v>0.20979</v>
      </c>
      <c r="C230" s="2">
        <f t="shared" si="16"/>
        <v>-41.957999999999998</v>
      </c>
      <c r="D230" s="2">
        <f t="shared" si="17"/>
        <v>1.2267800779572723E-2</v>
      </c>
      <c r="E230" s="2">
        <f t="shared" si="19"/>
        <v>1.2412062518726407E-2</v>
      </c>
      <c r="F230" s="2">
        <f t="shared" si="18"/>
        <v>-0.57782402338718475</v>
      </c>
      <c r="G230" s="2">
        <f t="shared" si="15"/>
        <v>-0.57782402338718475</v>
      </c>
    </row>
    <row r="231" spans="1:7" x14ac:dyDescent="0.25">
      <c r="A231" s="18">
        <v>4.5599999999999996</v>
      </c>
      <c r="B231" s="2">
        <v>0.26257999999999998</v>
      </c>
      <c r="C231" s="2">
        <f t="shared" si="16"/>
        <v>-52.515999999999998</v>
      </c>
      <c r="D231" s="2">
        <f t="shared" si="17"/>
        <v>1.2326623489442733E-2</v>
      </c>
      <c r="E231" s="2">
        <f t="shared" si="19"/>
        <v>7.2488079806220986E-3</v>
      </c>
      <c r="F231" s="2">
        <f t="shared" si="18"/>
        <v>-0.63237870468327895</v>
      </c>
      <c r="G231" s="2">
        <f t="shared" si="15"/>
        <v>-0.63237870468327895</v>
      </c>
    </row>
    <row r="232" spans="1:7" x14ac:dyDescent="0.25">
      <c r="A232" s="18">
        <v>4.58</v>
      </c>
      <c r="B232" s="2">
        <v>0.16996</v>
      </c>
      <c r="C232" s="2">
        <f t="shared" si="16"/>
        <v>-33.991999999999997</v>
      </c>
      <c r="D232" s="2">
        <f t="shared" si="17"/>
        <v>1.2132494717439431E-2</v>
      </c>
      <c r="E232" s="2">
        <f t="shared" si="19"/>
        <v>1.4705677467502509E-3</v>
      </c>
      <c r="F232" s="2">
        <f t="shared" si="18"/>
        <v>-0.53393484152317727</v>
      </c>
      <c r="G232" s="2">
        <f t="shared" si="15"/>
        <v>-0.53393484152317727</v>
      </c>
    </row>
    <row r="233" spans="1:7" x14ac:dyDescent="0.25">
      <c r="A233" s="18">
        <v>4.5999999999999996</v>
      </c>
      <c r="B233" s="2">
        <v>7.7340000000000006E-2</v>
      </c>
      <c r="C233" s="2">
        <f t="shared" si="16"/>
        <v>-15.468000000000002</v>
      </c>
      <c r="D233" s="2">
        <f t="shared" si="17"/>
        <v>1.1724792008826859E-2</v>
      </c>
      <c r="E233" s="2">
        <f t="shared" si="19"/>
        <v>-4.8532193000825393E-3</v>
      </c>
      <c r="F233" s="2">
        <f t="shared" si="18"/>
        <v>-0.42908376026480272</v>
      </c>
      <c r="G233" s="2">
        <f t="shared" si="15"/>
        <v>-0.42908376026480272</v>
      </c>
    </row>
    <row r="234" spans="1:7" x14ac:dyDescent="0.25">
      <c r="A234" s="18">
        <v>4.62</v>
      </c>
      <c r="B234" s="2">
        <v>-1.5270000000000001E-2</v>
      </c>
      <c r="C234" s="2">
        <f t="shared" si="16"/>
        <v>3.0540000000000003</v>
      </c>
      <c r="D234" s="2">
        <f t="shared" si="17"/>
        <v>1.1145455796108365E-2</v>
      </c>
      <c r="E234" s="2">
        <f t="shared" si="19"/>
        <v>-1.0192567715314313E-2</v>
      </c>
      <c r="F234" s="2">
        <f t="shared" si="18"/>
        <v>-0.31909367388324728</v>
      </c>
      <c r="G234" s="2">
        <f t="shared" si="15"/>
        <v>-0.31909367388324728</v>
      </c>
    </row>
    <row r="235" spans="1:7" x14ac:dyDescent="0.25">
      <c r="A235" s="18">
        <v>4.6399999999999997</v>
      </c>
      <c r="B235" s="2">
        <v>-0.10789</v>
      </c>
      <c r="C235" s="2">
        <f t="shared" si="16"/>
        <v>21.577999999999999</v>
      </c>
      <c r="D235" s="2">
        <f t="shared" si="17"/>
        <v>1.0438482113836573E-2</v>
      </c>
      <c r="E235" s="2">
        <f t="shared" si="19"/>
        <v>-1.448340531796234E-2</v>
      </c>
      <c r="F235" s="2">
        <f t="shared" si="18"/>
        <v>-0.20526446341510068</v>
      </c>
      <c r="G235" s="2">
        <f t="shared" si="15"/>
        <v>-0.20526446341510068</v>
      </c>
    </row>
    <row r="236" spans="1:7" x14ac:dyDescent="0.25">
      <c r="A236" s="18">
        <v>4.66</v>
      </c>
      <c r="B236" s="2">
        <v>-0.20050999999999999</v>
      </c>
      <c r="C236" s="2">
        <f t="shared" si="16"/>
        <v>40.101999999999997</v>
      </c>
      <c r="D236" s="2">
        <f t="shared" si="17"/>
        <v>9.64940264619874E-3</v>
      </c>
      <c r="E236" s="2">
        <f t="shared" si="19"/>
        <v>-1.7674342056794811E-2</v>
      </c>
      <c r="F236" s="2">
        <f t="shared" si="18"/>
        <v>-8.8972079385959274E-2</v>
      </c>
      <c r="G236" s="2">
        <f t="shared" si="15"/>
        <v>-8.8972079385959274E-2</v>
      </c>
    </row>
    <row r="237" spans="1:7" x14ac:dyDescent="0.25">
      <c r="A237" s="18">
        <v>4.68</v>
      </c>
      <c r="B237" s="2">
        <v>-6.7860000000000004E-2</v>
      </c>
      <c r="C237" s="2">
        <f t="shared" si="16"/>
        <v>13.572000000000001</v>
      </c>
      <c r="D237" s="2">
        <f t="shared" si="17"/>
        <v>8.8247343468065235E-3</v>
      </c>
      <c r="E237" s="2">
        <f t="shared" si="19"/>
        <v>-1.972698669094582E-2</v>
      </c>
      <c r="F237" s="2">
        <f t="shared" si="18"/>
        <v>-0.19688203040419891</v>
      </c>
      <c r="G237" s="2">
        <f t="shared" si="15"/>
        <v>-0.19688203040419891</v>
      </c>
    </row>
    <row r="238" spans="1:7" x14ac:dyDescent="0.25">
      <c r="A238" s="18">
        <v>4.7</v>
      </c>
      <c r="B238" s="2">
        <v>6.479E-2</v>
      </c>
      <c r="C238" s="2">
        <f t="shared" si="16"/>
        <v>-12.958</v>
      </c>
      <c r="D238" s="2">
        <f t="shared" si="17"/>
        <v>7.9213132352526274E-3</v>
      </c>
      <c r="E238" s="2">
        <f t="shared" si="19"/>
        <v>-2.0616707484805413E-2</v>
      </c>
      <c r="F238" s="2">
        <f t="shared" si="18"/>
        <v>-0.30242939705757638</v>
      </c>
      <c r="G238" s="2">
        <f t="shared" si="15"/>
        <v>-0.30242939705757638</v>
      </c>
    </row>
    <row r="239" spans="1:7" x14ac:dyDescent="0.25">
      <c r="A239" s="18">
        <v>4.72</v>
      </c>
      <c r="B239" s="2">
        <v>1.6709999999999999E-2</v>
      </c>
      <c r="C239" s="2">
        <f t="shared" si="16"/>
        <v>-3.3419999999999996</v>
      </c>
      <c r="D239" s="2">
        <f t="shared" si="17"/>
        <v>6.8969203648757008E-3</v>
      </c>
      <c r="E239" s="2">
        <f t="shared" si="19"/>
        <v>-2.2585527788847402E-2</v>
      </c>
      <c r="F239" s="2">
        <f t="shared" si="18"/>
        <v>-0.22361761094626814</v>
      </c>
      <c r="G239" s="2">
        <f t="shared" si="15"/>
        <v>-0.22361761094626814</v>
      </c>
    </row>
    <row r="240" spans="1:7" x14ac:dyDescent="0.25">
      <c r="A240" s="18">
        <v>4.74</v>
      </c>
      <c r="B240" s="2">
        <v>-3.1370000000000002E-2</v>
      </c>
      <c r="C240" s="2">
        <f t="shared" si="16"/>
        <v>6.274</v>
      </c>
      <c r="D240" s="2">
        <f t="shared" si="17"/>
        <v>5.7830804501202669E-3</v>
      </c>
      <c r="E240" s="2">
        <f t="shared" si="19"/>
        <v>-2.5609821759423165E-2</v>
      </c>
      <c r="F240" s="2">
        <f t="shared" si="18"/>
        <v>-0.14212241350360477</v>
      </c>
      <c r="G240" s="2">
        <f t="shared" si="15"/>
        <v>-0.14212241350360477</v>
      </c>
    </row>
    <row r="241" spans="1:7" x14ac:dyDescent="0.25">
      <c r="A241" s="18">
        <v>4.76</v>
      </c>
      <c r="B241" s="2">
        <v>-7.9450000000000007E-2</v>
      </c>
      <c r="C241" s="2">
        <f t="shared" si="16"/>
        <v>15.89</v>
      </c>
      <c r="D241" s="2">
        <f t="shared" si="17"/>
        <v>4.6123915699633911E-3</v>
      </c>
      <c r="E241" s="2">
        <f t="shared" si="19"/>
        <v>-2.7845997868885846E-2</v>
      </c>
      <c r="F241" s="2">
        <f t="shared" si="18"/>
        <v>-5.8921747098898559E-2</v>
      </c>
      <c r="G241" s="2">
        <f t="shared" si="15"/>
        <v>-5.8921747098898559E-2</v>
      </c>
    </row>
    <row r="242" spans="1:7" x14ac:dyDescent="0.25">
      <c r="A242" s="18">
        <v>4.78</v>
      </c>
      <c r="B242" s="2">
        <v>-0.12753</v>
      </c>
      <c r="C242" s="2">
        <f t="shared" si="16"/>
        <v>25.506</v>
      </c>
      <c r="D242" s="2">
        <f t="shared" si="17"/>
        <v>3.4181339909669559E-3</v>
      </c>
      <c r="E242" s="2">
        <f t="shared" si="19"/>
        <v>-2.9267222003921893E-2</v>
      </c>
      <c r="F242" s="2">
        <f t="shared" si="18"/>
        <v>2.498598027099062E-2</v>
      </c>
      <c r="G242" s="2">
        <f t="shared" si="15"/>
        <v>2.498598027099062E-2</v>
      </c>
    </row>
    <row r="243" spans="1:7" x14ac:dyDescent="0.25">
      <c r="A243" s="18">
        <v>4.8</v>
      </c>
      <c r="B243" s="2">
        <v>-0.17560999999999999</v>
      </c>
      <c r="C243" s="2">
        <f t="shared" si="16"/>
        <v>35.122</v>
      </c>
      <c r="D243" s="2">
        <f t="shared" si="17"/>
        <v>2.2338708040789169E-3</v>
      </c>
      <c r="E243" s="2">
        <f t="shared" si="19"/>
        <v>-2.985643947491088E-2</v>
      </c>
      <c r="F243" s="2">
        <f t="shared" si="18"/>
        <v>0.10859387587763207</v>
      </c>
      <c r="G243" s="2">
        <f t="shared" si="15"/>
        <v>0.10859387587763207</v>
      </c>
    </row>
    <row r="244" spans="1:7" x14ac:dyDescent="0.25">
      <c r="A244" s="18">
        <v>4.82</v>
      </c>
      <c r="B244" s="2">
        <v>-0.22369</v>
      </c>
      <c r="C244" s="2">
        <f t="shared" si="16"/>
        <v>44.738</v>
      </c>
      <c r="D244" s="2">
        <f t="shared" si="17"/>
        <v>1.0930451675419308E-3</v>
      </c>
      <c r="E244" s="2">
        <f t="shared" si="19"/>
        <v>-2.9606579672200973E-2</v>
      </c>
      <c r="F244" s="2">
        <f t="shared" si="18"/>
        <v>0.19089864497374262</v>
      </c>
      <c r="G244" s="2">
        <f t="shared" si="15"/>
        <v>0.19089864497374262</v>
      </c>
    </row>
    <row r="245" spans="1:7" x14ac:dyDescent="0.25">
      <c r="A245" s="18">
        <v>4.84</v>
      </c>
      <c r="B245" s="2">
        <v>-0.27177000000000001</v>
      </c>
      <c r="C245" s="2">
        <f t="shared" si="16"/>
        <v>54.353999999999999</v>
      </c>
      <c r="D245" s="2">
        <f t="shared" si="17"/>
        <v>2.8578988994441714E-5</v>
      </c>
      <c r="E245" s="2">
        <f t="shared" si="19"/>
        <v>-2.8520640913424652E-2</v>
      </c>
      <c r="F245" s="2">
        <f t="shared" si="18"/>
        <v>0.27091263033016671</v>
      </c>
      <c r="G245" s="2">
        <f t="shared" si="15"/>
        <v>0.27091263033016671</v>
      </c>
    </row>
    <row r="246" spans="1:7" x14ac:dyDescent="0.25">
      <c r="A246" s="18">
        <v>4.8600000000000003</v>
      </c>
      <c r="B246" s="2">
        <v>-0.15851000000000001</v>
      </c>
      <c r="C246" s="2">
        <f t="shared" si="16"/>
        <v>31.702000000000002</v>
      </c>
      <c r="D246" s="2">
        <f t="shared" si="17"/>
        <v>-9.275221374209807E-4</v>
      </c>
      <c r="E246" s="2">
        <f t="shared" si="19"/>
        <v>-2.6611654463687226E-2</v>
      </c>
      <c r="F246" s="2">
        <f t="shared" si="18"/>
        <v>0.18633566412262953</v>
      </c>
      <c r="G246" s="2">
        <f t="shared" si="15"/>
        <v>0.18633566412262953</v>
      </c>
    </row>
    <row r="247" spans="1:7" x14ac:dyDescent="0.25">
      <c r="A247" s="18">
        <v>4.88</v>
      </c>
      <c r="B247" s="2">
        <v>-4.5249999999999999E-2</v>
      </c>
      <c r="C247" s="2">
        <f t="shared" si="16"/>
        <v>9.0499999999999989</v>
      </c>
      <c r="D247" s="2">
        <f t="shared" si="17"/>
        <v>-1.8090889981873513E-3</v>
      </c>
      <c r="E247" s="2">
        <f t="shared" si="19"/>
        <v>-2.3902528160385558E-2</v>
      </c>
      <c r="F247" s="2">
        <f t="shared" si="18"/>
        <v>9.9522669945620132E-2</v>
      </c>
      <c r="G247" s="2">
        <f t="shared" si="15"/>
        <v>9.9522669945620132E-2</v>
      </c>
    </row>
    <row r="248" spans="1:7" x14ac:dyDescent="0.25">
      <c r="A248" s="18">
        <v>4.9000000000000004</v>
      </c>
      <c r="B248" s="2">
        <v>6.8019999999999997E-2</v>
      </c>
      <c r="C248" s="2">
        <f t="shared" si="16"/>
        <v>-13.603999999999999</v>
      </c>
      <c r="D248" s="2">
        <f t="shared" si="17"/>
        <v>-2.6508467909754736E-3</v>
      </c>
      <c r="E248" s="2">
        <f t="shared" si="19"/>
        <v>-2.2039171519159264E-2</v>
      </c>
      <c r="F248" s="2">
        <f t="shared" si="18"/>
        <v>1.150540372926636E-2</v>
      </c>
      <c r="G248" s="2">
        <f t="shared" si="15"/>
        <v>1.150540372926636E-2</v>
      </c>
    </row>
    <row r="249" spans="1:7" x14ac:dyDescent="0.25">
      <c r="A249" s="18">
        <v>4.92</v>
      </c>
      <c r="B249" s="2">
        <v>0.18128</v>
      </c>
      <c r="C249" s="2">
        <f t="shared" si="16"/>
        <v>-36.256</v>
      </c>
      <c r="D249" s="2">
        <f t="shared" si="17"/>
        <v>-3.4880024222718894E-3</v>
      </c>
      <c r="E249" s="2">
        <f t="shared" si="19"/>
        <v>-2.1043944819703057E-2</v>
      </c>
      <c r="F249" s="2">
        <f t="shared" si="18"/>
        <v>-7.6639927331842689E-2</v>
      </c>
      <c r="G249" s="2">
        <f t="shared" si="15"/>
        <v>-7.6639927331842689E-2</v>
      </c>
    </row>
    <row r="250" spans="1:7" x14ac:dyDescent="0.25">
      <c r="A250" s="18">
        <v>4.9400000000000004</v>
      </c>
      <c r="B250" s="2">
        <v>0.14463999999999999</v>
      </c>
      <c r="C250" s="2">
        <f t="shared" si="16"/>
        <v>-28.927999999999997</v>
      </c>
      <c r="D250" s="2">
        <f t="shared" si="17"/>
        <v>-4.3558140245010422E-3</v>
      </c>
      <c r="E250" s="2">
        <f t="shared" si="19"/>
        <v>-2.0928890782410392E-2</v>
      </c>
      <c r="F250" s="2">
        <f t="shared" si="18"/>
        <v>-1.3965579264967488E-2</v>
      </c>
      <c r="G250" s="2">
        <f t="shared" si="15"/>
        <v>-1.3965579264967488E-2</v>
      </c>
    </row>
    <row r="251" spans="1:7" x14ac:dyDescent="0.25">
      <c r="A251" s="18">
        <v>4.96</v>
      </c>
      <c r="B251" s="2">
        <v>0.108</v>
      </c>
      <c r="C251" s="2">
        <f t="shared" si="16"/>
        <v>-21.6</v>
      </c>
      <c r="D251" s="2">
        <f t="shared" si="17"/>
        <v>-5.2292118584361816E-3</v>
      </c>
      <c r="E251" s="2">
        <f t="shared" si="19"/>
        <v>-2.169529005572882E-2</v>
      </c>
      <c r="F251" s="2">
        <f t="shared" si="18"/>
        <v>4.8876355753081718E-2</v>
      </c>
      <c r="G251" s="2">
        <f t="shared" si="15"/>
        <v>4.8876355753081718E-2</v>
      </c>
    </row>
    <row r="252" spans="1:7" x14ac:dyDescent="0.25">
      <c r="A252" s="18">
        <v>4.9800000000000004</v>
      </c>
      <c r="B252" s="2">
        <v>7.1370000000000003E-2</v>
      </c>
      <c r="C252" s="2">
        <f t="shared" si="16"/>
        <v>-14.274000000000001</v>
      </c>
      <c r="D252" s="2">
        <f t="shared" si="17"/>
        <v>-6.0830591500700883E-3</v>
      </c>
      <c r="E252" s="2">
        <f t="shared" si="19"/>
        <v>-2.1834945848378483E-2</v>
      </c>
      <c r="F252" s="2">
        <f t="shared" si="18"/>
        <v>0.11112177450210312</v>
      </c>
      <c r="G252" s="2">
        <f t="shared" si="15"/>
        <v>0.11112177450210312</v>
      </c>
    </row>
    <row r="253" spans="1:7" x14ac:dyDescent="0.25">
      <c r="A253" s="18">
        <v>5</v>
      </c>
      <c r="B253" s="2">
        <v>3.4729999999999997E-2</v>
      </c>
      <c r="C253" s="2">
        <f t="shared" si="16"/>
        <v>-6.9459999999999997</v>
      </c>
      <c r="D253" s="2">
        <f t="shared" si="17"/>
        <v>-6.8924577319031538E-3</v>
      </c>
      <c r="E253" s="2">
        <f t="shared" si="19"/>
        <v>-2.1346182290847667E-2</v>
      </c>
      <c r="F253" s="2">
        <f t="shared" si="18"/>
        <v>0.17204373195709408</v>
      </c>
      <c r="G253" s="2">
        <f t="shared" si="15"/>
        <v>0.17204373195709408</v>
      </c>
    </row>
    <row r="254" spans="1:7" x14ac:dyDescent="0.25">
      <c r="A254" s="18">
        <v>5.0199999999999996</v>
      </c>
      <c r="B254" s="2">
        <v>9.6659999999999996E-2</v>
      </c>
      <c r="C254" s="2">
        <f t="shared" si="16"/>
        <v>-19.332000000000001</v>
      </c>
      <c r="D254" s="2">
        <f t="shared" si="17"/>
        <v>-7.6330388209533816E-3</v>
      </c>
      <c r="E254" s="2">
        <f t="shared" si="19"/>
        <v>-2.0234964545826635E-2</v>
      </c>
      <c r="F254" s="2">
        <f t="shared" si="18"/>
        <v>0.1323311646286027</v>
      </c>
      <c r="G254" s="2">
        <f t="shared" si="15"/>
        <v>0.1323311646286027</v>
      </c>
    </row>
    <row r="255" spans="1:7" x14ac:dyDescent="0.25">
      <c r="A255" s="18">
        <v>5.04</v>
      </c>
      <c r="B255" s="2">
        <v>0.15859999999999999</v>
      </c>
      <c r="C255" s="2">
        <f t="shared" si="16"/>
        <v>-31.72</v>
      </c>
      <c r="D255" s="2">
        <f t="shared" si="17"/>
        <v>-8.3206874441521684E-3</v>
      </c>
      <c r="E255" s="2">
        <f t="shared" si="19"/>
        <v>-1.8514527226255694E-2</v>
      </c>
      <c r="F255" s="2">
        <f t="shared" si="18"/>
        <v>9.1020623324564523E-2</v>
      </c>
      <c r="G255" s="2">
        <f t="shared" si="15"/>
        <v>9.1020623324564523E-2</v>
      </c>
    </row>
    <row r="256" spans="1:7" x14ac:dyDescent="0.25">
      <c r="A256" s="18">
        <v>5.0599999999999996</v>
      </c>
      <c r="B256" s="2">
        <v>0.22053</v>
      </c>
      <c r="C256" s="2">
        <f t="shared" si="16"/>
        <v>-44.106000000000002</v>
      </c>
      <c r="D256" s="2">
        <f t="shared" si="17"/>
        <v>-8.9719278180211293E-3</v>
      </c>
      <c r="E256" s="2">
        <f t="shared" si="19"/>
        <v>-1.7191215579969669E-2</v>
      </c>
      <c r="F256" s="2">
        <f t="shared" si="18"/>
        <v>4.8627834540637856E-2</v>
      </c>
      <c r="G256" s="2">
        <f t="shared" si="15"/>
        <v>4.8627834540637856E-2</v>
      </c>
    </row>
    <row r="257" spans="1:7" x14ac:dyDescent="0.25">
      <c r="A257" s="18">
        <v>5.08</v>
      </c>
      <c r="B257" s="2">
        <v>0.18296000000000001</v>
      </c>
      <c r="C257" s="2">
        <f t="shared" si="16"/>
        <v>-36.591999999999999</v>
      </c>
      <c r="D257" s="2">
        <f t="shared" si="17"/>
        <v>-9.6037170580738351E-3</v>
      </c>
      <c r="E257" s="2">
        <f t="shared" si="19"/>
        <v>-1.6281009346724024E-2</v>
      </c>
      <c r="F257" s="2">
        <f t="shared" si="18"/>
        <v>0.10515151174221582</v>
      </c>
      <c r="G257" s="2">
        <f t="shared" si="15"/>
        <v>0.10515151174221582</v>
      </c>
    </row>
    <row r="258" spans="1:7" x14ac:dyDescent="0.25">
      <c r="A258" s="18">
        <v>5.0999999999999996</v>
      </c>
      <c r="B258" s="2">
        <v>0.14538000000000001</v>
      </c>
      <c r="C258" s="2">
        <f t="shared" si="16"/>
        <v>-29.076000000000001</v>
      </c>
      <c r="D258" s="2">
        <f t="shared" si="17"/>
        <v>-1.0193445693429655E-2</v>
      </c>
      <c r="E258" s="2">
        <f t="shared" si="19"/>
        <v>-1.5794731001317643E-2</v>
      </c>
      <c r="F258" s="2">
        <f t="shared" si="18"/>
        <v>0.16042337080289426</v>
      </c>
      <c r="G258" s="2">
        <f t="shared" ref="G258:G321" si="20">HLOOKUP($Y$3,$B$1:$F$1562,ROW(),0)</f>
        <v>0.16042337080289426</v>
      </c>
    </row>
    <row r="259" spans="1:7" x14ac:dyDescent="0.25">
      <c r="A259" s="18">
        <v>5.12</v>
      </c>
      <c r="B259" s="2">
        <v>0.10780000000000001</v>
      </c>
      <c r="C259" s="2">
        <f t="shared" ref="C259:C322" si="21">-$M$4*B259</f>
        <v>-21.560000000000002</v>
      </c>
      <c r="D259" s="2">
        <f t="shared" si="17"/>
        <v>-1.0719004980464316E-2</v>
      </c>
      <c r="E259" s="2">
        <f t="shared" si="19"/>
        <v>-1.4743215883895487E-2</v>
      </c>
      <c r="F259" s="2">
        <f t="shared" si="18"/>
        <v>0.2137701494139268</v>
      </c>
      <c r="G259" s="2">
        <f t="shared" si="20"/>
        <v>0.2137701494139268</v>
      </c>
    </row>
    <row r="260" spans="1:7" x14ac:dyDescent="0.25">
      <c r="A260" s="18">
        <v>5.14</v>
      </c>
      <c r="B260" s="2">
        <v>7.0230000000000001E-2</v>
      </c>
      <c r="C260" s="2">
        <f t="shared" si="21"/>
        <v>-14.045999999999999</v>
      </c>
      <c r="D260" s="2">
        <f t="shared" ref="D260:D323" si="22">(C259-($Q$6*D259)-($Q$7*D258))/$Q$5</f>
        <v>-1.1159056207733407E-2</v>
      </c>
      <c r="E260" s="2">
        <f t="shared" si="19"/>
        <v>-1.3138982175866544E-2</v>
      </c>
      <c r="F260" s="2">
        <f t="shared" ref="F260:F323" si="23">(D259-2*D260+D261)/($A$4^2)</f>
        <v>0.26454168623200014</v>
      </c>
      <c r="G260" s="2">
        <f t="shared" si="20"/>
        <v>0.26454168623200014</v>
      </c>
    </row>
    <row r="261" spans="1:7" x14ac:dyDescent="0.25">
      <c r="A261" s="18">
        <v>5.16</v>
      </c>
      <c r="B261" s="2">
        <v>3.2649999999999998E-2</v>
      </c>
      <c r="C261" s="2">
        <f t="shared" si="21"/>
        <v>-6.5299999999999994</v>
      </c>
      <c r="D261" s="2">
        <f t="shared" si="22"/>
        <v>-1.1493290760509698E-2</v>
      </c>
      <c r="E261" s="2">
        <f t="shared" ref="E261:E324" si="24">(D260-D259)/(2*$A$4)</f>
        <v>-1.1001280681727276E-2</v>
      </c>
      <c r="F261" s="2">
        <f t="shared" si="23"/>
        <v>0.31214872281528583</v>
      </c>
      <c r="G261" s="2">
        <f t="shared" si="20"/>
        <v>0.31214872281528583</v>
      </c>
    </row>
    <row r="262" spans="1:7" x14ac:dyDescent="0.25">
      <c r="A262" s="18">
        <v>5.18</v>
      </c>
      <c r="B262" s="2">
        <v>6.6489999999999994E-2</v>
      </c>
      <c r="C262" s="2">
        <f t="shared" si="21"/>
        <v>-13.297999999999998</v>
      </c>
      <c r="D262" s="2">
        <f t="shared" si="22"/>
        <v>-1.1702665824159875E-2</v>
      </c>
      <c r="E262" s="2">
        <f t="shared" si="24"/>
        <v>-8.3558638194072745E-3</v>
      </c>
      <c r="F262" s="2">
        <f t="shared" si="23"/>
        <v>0.28458997472479047</v>
      </c>
      <c r="G262" s="2">
        <f t="shared" si="20"/>
        <v>0.28458997472479047</v>
      </c>
    </row>
    <row r="263" spans="1:7" x14ac:dyDescent="0.25">
      <c r="A263" s="18">
        <v>5.2</v>
      </c>
      <c r="B263" s="2">
        <v>0.10033</v>
      </c>
      <c r="C263" s="2">
        <f t="shared" si="21"/>
        <v>-20.065999999999999</v>
      </c>
      <c r="D263" s="2">
        <f t="shared" si="22"/>
        <v>-1.1798204897920135E-2</v>
      </c>
      <c r="E263" s="2">
        <f t="shared" si="24"/>
        <v>-5.2343765912544159E-3</v>
      </c>
      <c r="F263" s="2">
        <f t="shared" si="23"/>
        <v>0.25361614693760087</v>
      </c>
      <c r="G263" s="2">
        <f t="shared" si="20"/>
        <v>0.25361614693760087</v>
      </c>
    </row>
    <row r="264" spans="1:7" x14ac:dyDescent="0.25">
      <c r="A264" s="18">
        <v>5.22</v>
      </c>
      <c r="B264" s="2">
        <v>0.13417000000000001</v>
      </c>
      <c r="C264" s="2">
        <f t="shared" si="21"/>
        <v>-26.834000000000003</v>
      </c>
      <c r="D264" s="2">
        <f t="shared" si="22"/>
        <v>-1.1792297512905356E-2</v>
      </c>
      <c r="E264" s="2">
        <f t="shared" si="24"/>
        <v>-2.388476844006511E-3</v>
      </c>
      <c r="F264" s="2">
        <f t="shared" si="23"/>
        <v>0.21959892538715459</v>
      </c>
      <c r="G264" s="2">
        <f t="shared" si="20"/>
        <v>0.21959892538715459</v>
      </c>
    </row>
    <row r="265" spans="1:7" x14ac:dyDescent="0.25">
      <c r="A265" s="18">
        <v>5.24</v>
      </c>
      <c r="B265" s="2">
        <v>0.10337</v>
      </c>
      <c r="C265" s="2">
        <f t="shared" si="21"/>
        <v>-20.673999999999999</v>
      </c>
      <c r="D265" s="2">
        <f t="shared" si="22"/>
        <v>-1.1698550557735714E-2</v>
      </c>
      <c r="E265" s="2">
        <f t="shared" si="24"/>
        <v>1.4768462536949786E-4</v>
      </c>
      <c r="F265" s="2">
        <f t="shared" si="23"/>
        <v>0.24758651673206875</v>
      </c>
      <c r="G265" s="2">
        <f t="shared" si="20"/>
        <v>0.24758651673206875</v>
      </c>
    </row>
    <row r="266" spans="1:7" x14ac:dyDescent="0.25">
      <c r="A266" s="18">
        <v>5.26</v>
      </c>
      <c r="B266" s="2">
        <v>7.2569999999999996E-2</v>
      </c>
      <c r="C266" s="2">
        <f t="shared" si="21"/>
        <v>-14.513999999999999</v>
      </c>
      <c r="D266" s="2">
        <f t="shared" si="22"/>
        <v>-1.1505768995873245E-2</v>
      </c>
      <c r="E266" s="2">
        <f t="shared" si="24"/>
        <v>2.3436738792410438E-3</v>
      </c>
      <c r="F266" s="2">
        <f t="shared" si="23"/>
        <v>0.27260306987620525</v>
      </c>
      <c r="G266" s="2">
        <f t="shared" si="20"/>
        <v>0.27260306987620525</v>
      </c>
    </row>
    <row r="267" spans="1:7" x14ac:dyDescent="0.25">
      <c r="A267" s="18">
        <v>5.28</v>
      </c>
      <c r="B267" s="2">
        <v>4.1770000000000002E-2</v>
      </c>
      <c r="C267" s="2">
        <f t="shared" si="21"/>
        <v>-8.354000000000001</v>
      </c>
      <c r="D267" s="2">
        <f t="shared" si="22"/>
        <v>-1.1203946206060293E-2</v>
      </c>
      <c r="E267" s="2">
        <f t="shared" si="24"/>
        <v>4.8195390465617313E-3</v>
      </c>
      <c r="F267" s="2">
        <f t="shared" si="23"/>
        <v>0.29434838618181031</v>
      </c>
      <c r="G267" s="2">
        <f t="shared" si="20"/>
        <v>0.29434838618181031</v>
      </c>
    </row>
    <row r="268" spans="1:7" x14ac:dyDescent="0.25">
      <c r="A268" s="18">
        <v>5.3</v>
      </c>
      <c r="B268" s="2">
        <v>1.0970000000000001E-2</v>
      </c>
      <c r="C268" s="2">
        <f t="shared" si="21"/>
        <v>-2.194</v>
      </c>
      <c r="D268" s="2">
        <f t="shared" si="22"/>
        <v>-1.0784384061774618E-2</v>
      </c>
      <c r="E268" s="2">
        <f t="shared" si="24"/>
        <v>7.5455697453237838E-3</v>
      </c>
      <c r="F268" s="2">
        <f t="shared" si="23"/>
        <v>0.31256152185324143</v>
      </c>
      <c r="G268" s="2">
        <f t="shared" si="20"/>
        <v>0.31256152185324143</v>
      </c>
    </row>
    <row r="269" spans="1:7" x14ac:dyDescent="0.25">
      <c r="A269" s="18">
        <v>5.32</v>
      </c>
      <c r="B269" s="2">
        <v>-1.983E-2</v>
      </c>
      <c r="C269" s="2">
        <f t="shared" si="21"/>
        <v>3.9660000000000002</v>
      </c>
      <c r="D269" s="2">
        <f t="shared" si="22"/>
        <v>-1.0239797308747646E-2</v>
      </c>
      <c r="E269" s="2">
        <f t="shared" si="24"/>
        <v>1.0489053607141887E-2</v>
      </c>
      <c r="F269" s="2">
        <f t="shared" si="23"/>
        <v>0.32702391926242663</v>
      </c>
      <c r="G269" s="2">
        <f t="shared" si="20"/>
        <v>0.32702391926242663</v>
      </c>
    </row>
    <row r="270" spans="1:7" x14ac:dyDescent="0.25">
      <c r="A270" s="18">
        <v>5.34</v>
      </c>
      <c r="B270" s="2">
        <v>4.4380000000000003E-2</v>
      </c>
      <c r="C270" s="2">
        <f t="shared" si="21"/>
        <v>-8.8760000000000012</v>
      </c>
      <c r="D270" s="2">
        <f t="shared" si="22"/>
        <v>-9.5644009880157029E-3</v>
      </c>
      <c r="E270" s="2">
        <f t="shared" si="24"/>
        <v>1.3614668825674301E-2</v>
      </c>
      <c r="F270" s="2">
        <f t="shared" si="23"/>
        <v>0.24255202964046546</v>
      </c>
      <c r="G270" s="2">
        <f t="shared" si="20"/>
        <v>0.24255202964046546</v>
      </c>
    </row>
    <row r="271" spans="1:7" x14ac:dyDescent="0.25">
      <c r="A271" s="18">
        <v>5.36</v>
      </c>
      <c r="B271" s="2">
        <v>0.1086</v>
      </c>
      <c r="C271" s="2">
        <f t="shared" si="21"/>
        <v>-21.72</v>
      </c>
      <c r="D271" s="2">
        <f t="shared" si="22"/>
        <v>-8.791983855427574E-3</v>
      </c>
      <c r="E271" s="2">
        <f t="shared" si="24"/>
        <v>1.6884908018298568E-2</v>
      </c>
      <c r="F271" s="2">
        <f t="shared" si="23"/>
        <v>0.15515951566282599</v>
      </c>
      <c r="G271" s="2">
        <f t="shared" si="20"/>
        <v>0.15515951566282599</v>
      </c>
    </row>
    <row r="272" spans="1:7" x14ac:dyDescent="0.25">
      <c r="A272" s="18">
        <v>5.38</v>
      </c>
      <c r="B272" s="2">
        <v>0.17280999999999999</v>
      </c>
      <c r="C272" s="2">
        <f t="shared" si="21"/>
        <v>-34.561999999999998</v>
      </c>
      <c r="D272" s="2">
        <f t="shared" si="22"/>
        <v>-7.9575029165743147E-3</v>
      </c>
      <c r="E272" s="2">
        <f t="shared" si="24"/>
        <v>1.9310428314703223E-2</v>
      </c>
      <c r="F272" s="2">
        <f t="shared" si="23"/>
        <v>6.5915087497229241E-2</v>
      </c>
      <c r="G272" s="2">
        <f t="shared" si="20"/>
        <v>6.5915087497229241E-2</v>
      </c>
    </row>
    <row r="273" spans="1:7" x14ac:dyDescent="0.25">
      <c r="A273" s="18">
        <v>5.4</v>
      </c>
      <c r="B273" s="2">
        <v>0.10416</v>
      </c>
      <c r="C273" s="2">
        <f t="shared" si="21"/>
        <v>-20.832000000000001</v>
      </c>
      <c r="D273" s="2">
        <f t="shared" si="22"/>
        <v>-7.0966559427221637E-3</v>
      </c>
      <c r="E273" s="2">
        <f t="shared" si="24"/>
        <v>2.0862023471331481E-2</v>
      </c>
      <c r="F273" s="2">
        <f t="shared" si="23"/>
        <v>0.10873967828166353</v>
      </c>
      <c r="G273" s="2">
        <f t="shared" si="20"/>
        <v>0.10873967828166353</v>
      </c>
    </row>
    <row r="274" spans="1:7" x14ac:dyDescent="0.25">
      <c r="A274" s="18">
        <v>5.42</v>
      </c>
      <c r="B274" s="2">
        <v>3.551E-2</v>
      </c>
      <c r="C274" s="2">
        <f t="shared" si="21"/>
        <v>-7.1020000000000003</v>
      </c>
      <c r="D274" s="2">
        <f t="shared" si="22"/>
        <v>-6.1923130975573473E-3</v>
      </c>
      <c r="E274" s="2">
        <f t="shared" si="24"/>
        <v>2.1521174346303774E-2</v>
      </c>
      <c r="F274" s="2">
        <f t="shared" si="23"/>
        <v>0.15025939292672177</v>
      </c>
      <c r="G274" s="2">
        <f t="shared" si="20"/>
        <v>0.15025939292672177</v>
      </c>
    </row>
    <row r="275" spans="1:7" x14ac:dyDescent="0.25">
      <c r="A275" s="18">
        <v>5.44</v>
      </c>
      <c r="B275" s="2">
        <v>-3.3149999999999999E-2</v>
      </c>
      <c r="C275" s="2">
        <f t="shared" si="21"/>
        <v>6.63</v>
      </c>
      <c r="D275" s="2">
        <f t="shared" si="22"/>
        <v>-5.2278664952218421E-3</v>
      </c>
      <c r="E275" s="2">
        <f t="shared" si="24"/>
        <v>2.260857112912041E-2</v>
      </c>
      <c r="F275" s="2">
        <f t="shared" si="23"/>
        <v>0.1899859948566564</v>
      </c>
      <c r="G275" s="2">
        <f t="shared" si="20"/>
        <v>0.1899859948566564</v>
      </c>
    </row>
    <row r="276" spans="1:7" x14ac:dyDescent="0.25">
      <c r="A276" s="18">
        <v>5.46</v>
      </c>
      <c r="B276" s="2">
        <v>-0.1018</v>
      </c>
      <c r="C276" s="2">
        <f t="shared" si="21"/>
        <v>20.36</v>
      </c>
      <c r="D276" s="2">
        <f t="shared" si="22"/>
        <v>-4.1874254949436744E-3</v>
      </c>
      <c r="E276" s="2">
        <f t="shared" si="24"/>
        <v>2.4111165058387628E-2</v>
      </c>
      <c r="F276" s="2">
        <f t="shared" si="23"/>
        <v>0.22742276484831089</v>
      </c>
      <c r="G276" s="2">
        <f t="shared" si="20"/>
        <v>0.22742276484831089</v>
      </c>
    </row>
    <row r="277" spans="1:7" x14ac:dyDescent="0.25">
      <c r="A277" s="18">
        <v>5.48</v>
      </c>
      <c r="B277" s="2">
        <v>-7.2620000000000004E-2</v>
      </c>
      <c r="C277" s="2">
        <f t="shared" si="21"/>
        <v>14.524000000000001</v>
      </c>
      <c r="D277" s="2">
        <f t="shared" si="22"/>
        <v>-3.0560153887261824E-3</v>
      </c>
      <c r="E277" s="2">
        <f t="shared" si="24"/>
        <v>2.6011025006954191E-2</v>
      </c>
      <c r="F277" s="2">
        <f t="shared" si="23"/>
        <v>0.16430046166178575</v>
      </c>
      <c r="G277" s="2">
        <f t="shared" si="20"/>
        <v>0.16430046166178575</v>
      </c>
    </row>
    <row r="278" spans="1:7" x14ac:dyDescent="0.25">
      <c r="A278" s="18">
        <v>5.5</v>
      </c>
      <c r="B278" s="2">
        <v>-4.3439999999999999E-2</v>
      </c>
      <c r="C278" s="2">
        <f t="shared" si="21"/>
        <v>8.6880000000000006</v>
      </c>
      <c r="D278" s="2">
        <f t="shared" si="22"/>
        <v>-1.858885097843976E-3</v>
      </c>
      <c r="E278" s="2">
        <f t="shared" si="24"/>
        <v>2.8285252655437302E-2</v>
      </c>
      <c r="F278" s="2">
        <f t="shared" si="23"/>
        <v>9.9206552935319062E-2</v>
      </c>
      <c r="G278" s="2">
        <f t="shared" si="20"/>
        <v>9.9206552935319062E-2</v>
      </c>
    </row>
    <row r="279" spans="1:7" x14ac:dyDescent="0.25">
      <c r="A279" s="18">
        <v>5.52</v>
      </c>
      <c r="B279" s="2">
        <v>-1.426E-2</v>
      </c>
      <c r="C279" s="2">
        <f t="shared" si="21"/>
        <v>2.8519999999999999</v>
      </c>
      <c r="D279" s="2">
        <f t="shared" si="22"/>
        <v>-6.2207218578764199E-4</v>
      </c>
      <c r="E279" s="2">
        <f t="shared" si="24"/>
        <v>2.9928257272055159E-2</v>
      </c>
      <c r="F279" s="2">
        <f t="shared" si="23"/>
        <v>3.2922165573628981E-2</v>
      </c>
      <c r="G279" s="2">
        <f t="shared" si="20"/>
        <v>3.2922165573628981E-2</v>
      </c>
    </row>
    <row r="280" spans="1:7" x14ac:dyDescent="0.25">
      <c r="A280" s="18">
        <v>5.54</v>
      </c>
      <c r="B280" s="2">
        <v>1.4919999999999999E-2</v>
      </c>
      <c r="C280" s="2">
        <f t="shared" si="21"/>
        <v>-2.984</v>
      </c>
      <c r="D280" s="2">
        <f t="shared" si="22"/>
        <v>6.279095924981436E-4</v>
      </c>
      <c r="E280" s="2">
        <f t="shared" si="24"/>
        <v>3.0920322801408349E-2</v>
      </c>
      <c r="F280" s="2">
        <f t="shared" si="23"/>
        <v>-3.3757287774944751E-2</v>
      </c>
      <c r="G280" s="2">
        <f t="shared" si="20"/>
        <v>-3.3757287774944751E-2</v>
      </c>
    </row>
    <row r="281" spans="1:7" x14ac:dyDescent="0.25">
      <c r="A281" s="18">
        <v>5.56</v>
      </c>
      <c r="B281" s="2">
        <v>-2.0250000000000001E-2</v>
      </c>
      <c r="C281" s="2">
        <f t="shared" si="21"/>
        <v>4.05</v>
      </c>
      <c r="D281" s="2">
        <f t="shared" si="22"/>
        <v>1.8643884556739513E-3</v>
      </c>
      <c r="E281" s="2">
        <f t="shared" si="24"/>
        <v>3.1249544457144635E-2</v>
      </c>
      <c r="F281" s="2">
        <f t="shared" si="23"/>
        <v>-3.5681653670217424E-2</v>
      </c>
      <c r="G281" s="2">
        <f t="shared" si="20"/>
        <v>-3.5681653670217424E-2</v>
      </c>
    </row>
    <row r="282" spans="1:7" x14ac:dyDescent="0.25">
      <c r="A282" s="18">
        <v>5.58</v>
      </c>
      <c r="B282" s="2">
        <v>-5.543E-2</v>
      </c>
      <c r="C282" s="2">
        <f t="shared" si="21"/>
        <v>11.086</v>
      </c>
      <c r="D282" s="2">
        <f t="shared" si="22"/>
        <v>3.0865946573816719E-3</v>
      </c>
      <c r="E282" s="2">
        <f t="shared" si="24"/>
        <v>3.0911971579395195E-2</v>
      </c>
      <c r="F282" s="2">
        <f t="shared" si="23"/>
        <v>-3.7167839721449769E-2</v>
      </c>
      <c r="G282" s="2">
        <f t="shared" si="20"/>
        <v>-3.7167839721449769E-2</v>
      </c>
    </row>
    <row r="283" spans="1:7" x14ac:dyDescent="0.25">
      <c r="A283" s="18">
        <v>5.6</v>
      </c>
      <c r="B283" s="2">
        <v>-9.06E-2</v>
      </c>
      <c r="C283" s="2">
        <f t="shared" si="21"/>
        <v>18.12</v>
      </c>
      <c r="D283" s="2">
        <f t="shared" si="22"/>
        <v>4.2939337232008124E-3</v>
      </c>
      <c r="E283" s="2">
        <f t="shared" si="24"/>
        <v>3.0555155042693016E-2</v>
      </c>
      <c r="F283" s="2">
        <f t="shared" si="23"/>
        <v>-3.8218011696024373E-2</v>
      </c>
      <c r="G283" s="2">
        <f t="shared" si="20"/>
        <v>-3.8218011696024373E-2</v>
      </c>
    </row>
    <row r="284" spans="1:7" x14ac:dyDescent="0.25">
      <c r="A284" s="18">
        <v>5.62</v>
      </c>
      <c r="B284" s="2">
        <v>-0.12578</v>
      </c>
      <c r="C284" s="2">
        <f t="shared" si="21"/>
        <v>25.155999999999999</v>
      </c>
      <c r="D284" s="2">
        <f t="shared" si="22"/>
        <v>5.4859855843415435E-3</v>
      </c>
      <c r="E284" s="2">
        <f t="shared" si="24"/>
        <v>3.0183476645478512E-2</v>
      </c>
      <c r="F284" s="2">
        <f t="shared" si="23"/>
        <v>-3.8799567530244973E-2</v>
      </c>
      <c r="G284" s="2">
        <f t="shared" si="20"/>
        <v>-3.8799567530244973E-2</v>
      </c>
    </row>
    <row r="285" spans="1:7" x14ac:dyDescent="0.25">
      <c r="A285" s="18">
        <v>5.64</v>
      </c>
      <c r="B285" s="2">
        <v>-0.16095000000000001</v>
      </c>
      <c r="C285" s="2">
        <f t="shared" si="21"/>
        <v>32.190000000000005</v>
      </c>
      <c r="D285" s="2">
        <f t="shared" si="22"/>
        <v>6.6625176184701767E-3</v>
      </c>
      <c r="E285" s="2">
        <f t="shared" si="24"/>
        <v>2.9801296528518279E-2</v>
      </c>
      <c r="F285" s="2">
        <f t="shared" si="23"/>
        <v>-3.8925528554108885E-2</v>
      </c>
      <c r="G285" s="2">
        <f t="shared" si="20"/>
        <v>-3.8925528554108885E-2</v>
      </c>
    </row>
    <row r="286" spans="1:7" x14ac:dyDescent="0.25">
      <c r="A286" s="18">
        <v>5.66</v>
      </c>
      <c r="B286" s="2">
        <v>-0.19613</v>
      </c>
      <c r="C286" s="2">
        <f t="shared" si="21"/>
        <v>39.225999999999999</v>
      </c>
      <c r="D286" s="2">
        <f t="shared" si="22"/>
        <v>7.8234794411771655E-3</v>
      </c>
      <c r="E286" s="2">
        <f t="shared" si="24"/>
        <v>2.9413300853215828E-2</v>
      </c>
      <c r="F286" s="2">
        <f t="shared" si="23"/>
        <v>-3.85743832353189E-2</v>
      </c>
      <c r="G286" s="2">
        <f t="shared" si="20"/>
        <v>-3.85743832353189E-2</v>
      </c>
    </row>
    <row r="287" spans="1:7" x14ac:dyDescent="0.25">
      <c r="A287" s="18">
        <v>5.68</v>
      </c>
      <c r="B287" s="2">
        <v>-0.14784</v>
      </c>
      <c r="C287" s="2">
        <f t="shared" si="21"/>
        <v>29.568000000000001</v>
      </c>
      <c r="D287" s="2">
        <f t="shared" si="22"/>
        <v>8.9690115105900258E-3</v>
      </c>
      <c r="E287" s="2">
        <f t="shared" si="24"/>
        <v>2.9024045567674718E-2</v>
      </c>
      <c r="F287" s="2">
        <f t="shared" si="23"/>
        <v>-0.1212303453177084</v>
      </c>
      <c r="G287" s="2">
        <f t="shared" si="20"/>
        <v>-0.1212303453177084</v>
      </c>
    </row>
    <row r="288" spans="1:7" x14ac:dyDescent="0.25">
      <c r="A288" s="18">
        <v>5.7</v>
      </c>
      <c r="B288" s="2">
        <v>-9.955E-2</v>
      </c>
      <c r="C288" s="2">
        <f t="shared" si="21"/>
        <v>19.91</v>
      </c>
      <c r="D288" s="2">
        <f t="shared" si="22"/>
        <v>1.0066051441875803E-2</v>
      </c>
      <c r="E288" s="2">
        <f t="shared" si="24"/>
        <v>2.8638301735321506E-2</v>
      </c>
      <c r="F288" s="2">
        <f t="shared" si="23"/>
        <v>-0.2024315432562788</v>
      </c>
      <c r="G288" s="2">
        <f t="shared" si="20"/>
        <v>-0.2024315432562788</v>
      </c>
    </row>
    <row r="289" spans="1:7" x14ac:dyDescent="0.25">
      <c r="A289" s="18">
        <v>5.72</v>
      </c>
      <c r="B289" s="2">
        <v>-5.1270000000000003E-2</v>
      </c>
      <c r="C289" s="2">
        <f t="shared" si="21"/>
        <v>10.254000000000001</v>
      </c>
      <c r="D289" s="2">
        <f t="shared" si="22"/>
        <v>1.1082118755859068E-2</v>
      </c>
      <c r="E289" s="2">
        <f t="shared" si="24"/>
        <v>2.7425998282144422E-2</v>
      </c>
      <c r="F289" s="2">
        <f t="shared" si="23"/>
        <v>-0.28119356267577134</v>
      </c>
      <c r="G289" s="2">
        <f t="shared" si="20"/>
        <v>-0.28119356267577134</v>
      </c>
    </row>
    <row r="290" spans="1:7" x14ac:dyDescent="0.25">
      <c r="A290" s="18">
        <v>5.74</v>
      </c>
      <c r="B290" s="2">
        <v>-2.98E-3</v>
      </c>
      <c r="C290" s="2">
        <f t="shared" si="21"/>
        <v>0.59599999999999997</v>
      </c>
      <c r="D290" s="2">
        <f t="shared" si="22"/>
        <v>1.1985708644772025E-2</v>
      </c>
      <c r="E290" s="2">
        <f t="shared" si="24"/>
        <v>2.5401682849581636E-2</v>
      </c>
      <c r="F290" s="2">
        <f t="shared" si="23"/>
        <v>-0.35659125934315877</v>
      </c>
      <c r="G290" s="2">
        <f t="shared" si="20"/>
        <v>-0.35659125934315877</v>
      </c>
    </row>
    <row r="291" spans="1:7" x14ac:dyDescent="0.25">
      <c r="A291" s="18">
        <v>5.76</v>
      </c>
      <c r="B291" s="2">
        <v>-1.9519999999999999E-2</v>
      </c>
      <c r="C291" s="2">
        <f t="shared" si="21"/>
        <v>3.9039999999999999</v>
      </c>
      <c r="D291" s="2">
        <f t="shared" si="22"/>
        <v>1.2746662029947719E-2</v>
      </c>
      <c r="E291" s="2">
        <f t="shared" si="24"/>
        <v>2.2589747222823923E-2</v>
      </c>
      <c r="F291" s="2">
        <f t="shared" si="23"/>
        <v>-0.36287986089842889</v>
      </c>
      <c r="G291" s="2">
        <f t="shared" si="20"/>
        <v>-0.36287986089842889</v>
      </c>
    </row>
    <row r="292" spans="1:7" x14ac:dyDescent="0.25">
      <c r="A292" s="18">
        <v>5.78</v>
      </c>
      <c r="B292" s="2">
        <v>-3.6049999999999999E-2</v>
      </c>
      <c r="C292" s="2">
        <f t="shared" si="21"/>
        <v>7.21</v>
      </c>
      <c r="D292" s="2">
        <f t="shared" si="22"/>
        <v>1.336246347076404E-2</v>
      </c>
      <c r="E292" s="2">
        <f t="shared" si="24"/>
        <v>1.9023834629392333E-2</v>
      </c>
      <c r="F292" s="2">
        <f t="shared" si="23"/>
        <v>-0.36482390412292343</v>
      </c>
      <c r="G292" s="2">
        <f t="shared" si="20"/>
        <v>-0.36482390412292343</v>
      </c>
    </row>
    <row r="293" spans="1:7" x14ac:dyDescent="0.25">
      <c r="A293" s="18">
        <v>5.8</v>
      </c>
      <c r="B293" s="2">
        <v>-5.2589999999999998E-2</v>
      </c>
      <c r="C293" s="2">
        <f t="shared" si="21"/>
        <v>10.517999999999999</v>
      </c>
      <c r="D293" s="2">
        <f t="shared" si="22"/>
        <v>1.3832335349931193E-2</v>
      </c>
      <c r="E293" s="2">
        <f t="shared" si="24"/>
        <v>1.5395036020408046E-2</v>
      </c>
      <c r="F293" s="2">
        <f t="shared" si="23"/>
        <v>-0.36238006049793547</v>
      </c>
      <c r="G293" s="2">
        <f t="shared" si="20"/>
        <v>-0.36238006049793547</v>
      </c>
    </row>
    <row r="294" spans="1:7" x14ac:dyDescent="0.25">
      <c r="A294" s="18">
        <v>5.82</v>
      </c>
      <c r="B294" s="2">
        <v>-4.1820000000000003E-2</v>
      </c>
      <c r="C294" s="2">
        <f t="shared" si="21"/>
        <v>8.3640000000000008</v>
      </c>
      <c r="D294" s="2">
        <f t="shared" si="22"/>
        <v>1.4157255204899171E-2</v>
      </c>
      <c r="E294" s="2">
        <f t="shared" si="24"/>
        <v>1.1746796979178811E-2</v>
      </c>
      <c r="F294" s="2">
        <f t="shared" si="23"/>
        <v>-0.38289765614697885</v>
      </c>
      <c r="G294" s="2">
        <f t="shared" si="20"/>
        <v>-0.38289765614697885</v>
      </c>
    </row>
    <row r="295" spans="1:7" x14ac:dyDescent="0.25">
      <c r="A295" s="18">
        <v>5.84</v>
      </c>
      <c r="B295" s="2">
        <v>-3.1060000000000001E-2</v>
      </c>
      <c r="C295" s="2">
        <f t="shared" si="21"/>
        <v>6.2119999999999997</v>
      </c>
      <c r="D295" s="2">
        <f t="shared" si="22"/>
        <v>1.4329015997408358E-2</v>
      </c>
      <c r="E295" s="2">
        <f t="shared" si="24"/>
        <v>8.1229963741994565E-3</v>
      </c>
      <c r="F295" s="2">
        <f t="shared" si="23"/>
        <v>-0.39881047992225499</v>
      </c>
      <c r="G295" s="2">
        <f t="shared" si="20"/>
        <v>-0.39881047992225499</v>
      </c>
    </row>
    <row r="296" spans="1:7" x14ac:dyDescent="0.25">
      <c r="A296" s="18">
        <v>5.86</v>
      </c>
      <c r="B296" s="2">
        <v>-2.903E-2</v>
      </c>
      <c r="C296" s="2">
        <f t="shared" si="21"/>
        <v>5.806</v>
      </c>
      <c r="D296" s="2">
        <f t="shared" si="22"/>
        <v>1.4341252597948643E-2</v>
      </c>
      <c r="E296" s="2">
        <f t="shared" si="24"/>
        <v>4.2940198127296679E-3</v>
      </c>
      <c r="F296" s="2">
        <f t="shared" si="23"/>
        <v>-0.40120757793846162</v>
      </c>
      <c r="G296" s="2">
        <f t="shared" si="20"/>
        <v>-0.40120757793846162</v>
      </c>
    </row>
    <row r="297" spans="1:7" x14ac:dyDescent="0.25">
      <c r="A297" s="18">
        <v>5.88</v>
      </c>
      <c r="B297" s="2">
        <v>-2.699E-2</v>
      </c>
      <c r="C297" s="2">
        <f t="shared" si="21"/>
        <v>5.3979999999999997</v>
      </c>
      <c r="D297" s="2">
        <f t="shared" si="22"/>
        <v>1.4193006167313543E-2</v>
      </c>
      <c r="E297" s="2">
        <f t="shared" si="24"/>
        <v>3.0591501350711765E-4</v>
      </c>
      <c r="F297" s="2">
        <f t="shared" si="23"/>
        <v>-0.39880018501940812</v>
      </c>
      <c r="G297" s="2">
        <f t="shared" si="20"/>
        <v>-0.39880018501940812</v>
      </c>
    </row>
    <row r="298" spans="1:7" x14ac:dyDescent="0.25">
      <c r="A298" s="18">
        <v>5.9</v>
      </c>
      <c r="B298" s="2">
        <v>2.5149999999999999E-2</v>
      </c>
      <c r="C298" s="2">
        <f t="shared" si="21"/>
        <v>-5.0299999999999994</v>
      </c>
      <c r="D298" s="2">
        <f t="shared" si="22"/>
        <v>1.3885239662670679E-2</v>
      </c>
      <c r="E298" s="2">
        <f t="shared" si="24"/>
        <v>-3.7061607658774986E-3</v>
      </c>
      <c r="F298" s="2">
        <f t="shared" si="23"/>
        <v>-0.44170718988012414</v>
      </c>
      <c r="G298" s="2">
        <f t="shared" si="20"/>
        <v>-0.44170718988012414</v>
      </c>
    </row>
    <row r="299" spans="1:7" x14ac:dyDescent="0.25">
      <c r="A299" s="18">
        <v>5.92</v>
      </c>
      <c r="B299" s="2">
        <v>1.77E-2</v>
      </c>
      <c r="C299" s="2">
        <f t="shared" si="21"/>
        <v>-3.54</v>
      </c>
      <c r="D299" s="2">
        <f t="shared" si="22"/>
        <v>1.3400790282075766E-2</v>
      </c>
      <c r="E299" s="2">
        <f t="shared" si="24"/>
        <v>-7.6941626160715801E-3</v>
      </c>
      <c r="F299" s="2">
        <f t="shared" si="23"/>
        <v>-0.41972370846228219</v>
      </c>
      <c r="G299" s="2">
        <f t="shared" si="20"/>
        <v>-0.41972370846228219</v>
      </c>
    </row>
    <row r="300" spans="1:7" x14ac:dyDescent="0.25">
      <c r="A300" s="18">
        <v>5.94</v>
      </c>
      <c r="B300" s="2">
        <v>2.213E-2</v>
      </c>
      <c r="C300" s="2">
        <f t="shared" si="21"/>
        <v>-4.4260000000000002</v>
      </c>
      <c r="D300" s="2">
        <f t="shared" si="22"/>
        <v>1.2748451418095941E-2</v>
      </c>
      <c r="E300" s="2">
        <f t="shared" si="24"/>
        <v>-1.2111234514872822E-2</v>
      </c>
      <c r="F300" s="2">
        <f t="shared" si="23"/>
        <v>-0.40458354254287521</v>
      </c>
      <c r="G300" s="2">
        <f t="shared" si="20"/>
        <v>-0.40458354254287521</v>
      </c>
    </row>
    <row r="301" spans="1:7" x14ac:dyDescent="0.25">
      <c r="A301" s="18">
        <v>5.96</v>
      </c>
      <c r="B301" s="2">
        <v>2.656E-2</v>
      </c>
      <c r="C301" s="2">
        <f t="shared" si="21"/>
        <v>-5.3120000000000003</v>
      </c>
      <c r="D301" s="2">
        <f t="shared" si="22"/>
        <v>1.1934279137098965E-2</v>
      </c>
      <c r="E301" s="2">
        <f t="shared" si="24"/>
        <v>-1.6308471599495642E-2</v>
      </c>
      <c r="F301" s="2">
        <f t="shared" si="23"/>
        <v>-0.38458837411297314</v>
      </c>
      <c r="G301" s="2">
        <f t="shared" si="20"/>
        <v>-0.38458837411297314</v>
      </c>
    </row>
    <row r="302" spans="1:7" x14ac:dyDescent="0.25">
      <c r="A302" s="18">
        <v>5.98</v>
      </c>
      <c r="B302" s="2">
        <v>4.1900000000000001E-3</v>
      </c>
      <c r="C302" s="2">
        <f t="shared" si="21"/>
        <v>-0.83800000000000008</v>
      </c>
      <c r="D302" s="2">
        <f t="shared" si="22"/>
        <v>1.09662715064568E-2</v>
      </c>
      <c r="E302" s="2">
        <f t="shared" si="24"/>
        <v>-2.0354307024924394E-2</v>
      </c>
      <c r="F302" s="2">
        <f t="shared" si="23"/>
        <v>-0.33317814519370509</v>
      </c>
      <c r="G302" s="2">
        <f t="shared" si="20"/>
        <v>-0.33317814519370509</v>
      </c>
    </row>
    <row r="303" spans="1:7" x14ac:dyDescent="0.25">
      <c r="A303" s="18">
        <v>6</v>
      </c>
      <c r="B303" s="2">
        <v>-1.8190000000000001E-2</v>
      </c>
      <c r="C303" s="2">
        <f t="shared" si="21"/>
        <v>3.6380000000000003</v>
      </c>
      <c r="D303" s="2">
        <f t="shared" si="22"/>
        <v>9.8649926177371526E-3</v>
      </c>
      <c r="E303" s="2">
        <f t="shared" si="24"/>
        <v>-2.4200190766054126E-2</v>
      </c>
      <c r="F303" s="2">
        <f t="shared" si="23"/>
        <v>-0.27775977853211009</v>
      </c>
      <c r="G303" s="2">
        <f t="shared" si="20"/>
        <v>-0.27775977853211009</v>
      </c>
    </row>
    <row r="304" spans="1:7" x14ac:dyDescent="0.25">
      <c r="A304" s="18">
        <v>6.02</v>
      </c>
      <c r="B304" s="2">
        <v>-4.0570000000000002E-2</v>
      </c>
      <c r="C304" s="2">
        <f t="shared" si="21"/>
        <v>8.1140000000000008</v>
      </c>
      <c r="D304" s="2">
        <f t="shared" si="22"/>
        <v>8.6526098176046614E-3</v>
      </c>
      <c r="E304" s="2">
        <f t="shared" si="24"/>
        <v>-2.7531972217991179E-2</v>
      </c>
      <c r="F304" s="2">
        <f t="shared" si="23"/>
        <v>-0.21900829452813769</v>
      </c>
      <c r="G304" s="2">
        <f t="shared" si="20"/>
        <v>-0.21900829452813769</v>
      </c>
    </row>
    <row r="305" spans="1:7" x14ac:dyDescent="0.25">
      <c r="A305" s="18">
        <v>6.04</v>
      </c>
      <c r="B305" s="2">
        <v>-6.2939999999999996E-2</v>
      </c>
      <c r="C305" s="2">
        <f t="shared" si="21"/>
        <v>12.587999999999999</v>
      </c>
      <c r="D305" s="2">
        <f t="shared" si="22"/>
        <v>7.3526236996609151E-3</v>
      </c>
      <c r="E305" s="2">
        <f t="shared" si="24"/>
        <v>-3.0309570003312278E-2</v>
      </c>
      <c r="F305" s="2">
        <f t="shared" si="23"/>
        <v>-0.15763871098982896</v>
      </c>
      <c r="G305" s="2">
        <f t="shared" si="20"/>
        <v>-0.15763871098982896</v>
      </c>
    </row>
    <row r="306" spans="1:7" x14ac:dyDescent="0.25">
      <c r="A306" s="18">
        <v>6.06</v>
      </c>
      <c r="B306" s="2">
        <v>-2.4170000000000001E-2</v>
      </c>
      <c r="C306" s="2">
        <f t="shared" si="21"/>
        <v>4.8340000000000005</v>
      </c>
      <c r="D306" s="2">
        <f t="shared" si="22"/>
        <v>5.9895820973212372E-3</v>
      </c>
      <c r="E306" s="2">
        <f t="shared" si="24"/>
        <v>-3.2499652948593659E-2</v>
      </c>
      <c r="F306" s="2">
        <f t="shared" si="23"/>
        <v>-0.15551746291963706</v>
      </c>
      <c r="G306" s="2">
        <f t="shared" si="20"/>
        <v>-0.15551746291963706</v>
      </c>
    </row>
    <row r="307" spans="1:7" x14ac:dyDescent="0.25">
      <c r="A307" s="18">
        <v>6.08</v>
      </c>
      <c r="B307" s="2">
        <v>1.46E-2</v>
      </c>
      <c r="C307" s="2">
        <f t="shared" si="21"/>
        <v>-2.92</v>
      </c>
      <c r="D307" s="2">
        <f t="shared" si="22"/>
        <v>4.5643335098137046E-3</v>
      </c>
      <c r="E307" s="2">
        <f t="shared" si="24"/>
        <v>-3.4076040058491949E-2</v>
      </c>
      <c r="F307" s="2">
        <f t="shared" si="23"/>
        <v>-0.15153000529441138</v>
      </c>
      <c r="G307" s="2">
        <f t="shared" si="20"/>
        <v>-0.15153000529441138</v>
      </c>
    </row>
    <row r="308" spans="1:7" x14ac:dyDescent="0.25">
      <c r="A308" s="18">
        <v>6.1</v>
      </c>
      <c r="B308" s="2">
        <v>5.3370000000000001E-2</v>
      </c>
      <c r="C308" s="2">
        <f t="shared" si="21"/>
        <v>-10.673999999999999</v>
      </c>
      <c r="D308" s="2">
        <f t="shared" si="22"/>
        <v>3.0784729201884073E-3</v>
      </c>
      <c r="E308" s="2">
        <f t="shared" si="24"/>
        <v>-3.5631214687688317E-2</v>
      </c>
      <c r="F308" s="2">
        <f t="shared" si="23"/>
        <v>-0.14572418760565417</v>
      </c>
      <c r="G308" s="2">
        <f t="shared" si="20"/>
        <v>-0.14572418760565417</v>
      </c>
    </row>
    <row r="309" spans="1:7" x14ac:dyDescent="0.25">
      <c r="A309" s="18">
        <v>6.12</v>
      </c>
      <c r="B309" s="2">
        <v>2.4279999999999999E-2</v>
      </c>
      <c r="C309" s="2">
        <f t="shared" si="21"/>
        <v>-4.8559999999999999</v>
      </c>
      <c r="D309" s="2">
        <f t="shared" si="22"/>
        <v>1.5343226555208484E-3</v>
      </c>
      <c r="E309" s="2">
        <f t="shared" si="24"/>
        <v>-3.7146514740632429E-2</v>
      </c>
      <c r="F309" s="2">
        <f t="shared" si="23"/>
        <v>-7.0309679665625735E-2</v>
      </c>
      <c r="G309" s="2">
        <f t="shared" si="20"/>
        <v>-7.0309679665625735E-2</v>
      </c>
    </row>
    <row r="310" spans="1:7" x14ac:dyDescent="0.25">
      <c r="A310" s="18">
        <v>6.14</v>
      </c>
      <c r="B310" s="2">
        <v>-4.7999999999999996E-3</v>
      </c>
      <c r="C310" s="2">
        <f t="shared" si="21"/>
        <v>0.96</v>
      </c>
      <c r="D310" s="2">
        <f t="shared" si="22"/>
        <v>-3.7951481012960809E-5</v>
      </c>
      <c r="E310" s="2">
        <f t="shared" si="24"/>
        <v>-3.8603756616688974E-2</v>
      </c>
      <c r="F310" s="2">
        <f t="shared" si="23"/>
        <v>5.938544430389046E-3</v>
      </c>
      <c r="G310" s="2">
        <f t="shared" si="20"/>
        <v>5.938544430389046E-3</v>
      </c>
    </row>
    <row r="311" spans="1:7" x14ac:dyDescent="0.25">
      <c r="A311" s="18">
        <v>6.16</v>
      </c>
      <c r="B311" s="2">
        <v>-3.3890000000000003E-2</v>
      </c>
      <c r="C311" s="2">
        <f t="shared" si="21"/>
        <v>6.7780000000000005</v>
      </c>
      <c r="D311" s="2">
        <f t="shared" si="22"/>
        <v>-1.6078501997746145E-3</v>
      </c>
      <c r="E311" s="2">
        <f t="shared" si="24"/>
        <v>-3.9306853413345229E-2</v>
      </c>
      <c r="F311" s="2">
        <f t="shared" si="23"/>
        <v>8.2125505993237924E-2</v>
      </c>
      <c r="G311" s="2">
        <f t="shared" si="20"/>
        <v>8.2125505993237924E-2</v>
      </c>
    </row>
    <row r="312" spans="1:7" x14ac:dyDescent="0.25">
      <c r="A312" s="18">
        <v>6.18</v>
      </c>
      <c r="B312" s="2">
        <v>-5.5700000000000003E-3</v>
      </c>
      <c r="C312" s="2">
        <f t="shared" si="21"/>
        <v>1.1140000000000001</v>
      </c>
      <c r="D312" s="2">
        <f t="shared" si="22"/>
        <v>-3.1448987161389729E-3</v>
      </c>
      <c r="E312" s="2">
        <f t="shared" si="24"/>
        <v>-3.9247467969041341E-2</v>
      </c>
      <c r="F312" s="2">
        <f t="shared" si="23"/>
        <v>9.9916961484168995E-2</v>
      </c>
      <c r="G312" s="2">
        <f t="shared" si="20"/>
        <v>9.9916961484168995E-2</v>
      </c>
    </row>
    <row r="313" spans="1:7" x14ac:dyDescent="0.25">
      <c r="A313" s="18">
        <v>6.2</v>
      </c>
      <c r="B313" s="2">
        <v>2.274E-2</v>
      </c>
      <c r="C313" s="2">
        <f t="shared" si="21"/>
        <v>-4.548</v>
      </c>
      <c r="D313" s="2">
        <f t="shared" si="22"/>
        <v>-4.6419804479096638E-3</v>
      </c>
      <c r="E313" s="2">
        <f t="shared" si="24"/>
        <v>-3.8426212909108963E-2</v>
      </c>
      <c r="F313" s="2">
        <f t="shared" si="23"/>
        <v>0.11651941343728986</v>
      </c>
      <c r="G313" s="2">
        <f t="shared" si="20"/>
        <v>0.11651941343728986</v>
      </c>
    </row>
    <row r="314" spans="1:7" x14ac:dyDescent="0.25">
      <c r="A314" s="18">
        <v>6.22</v>
      </c>
      <c r="B314" s="2">
        <v>6.79E-3</v>
      </c>
      <c r="C314" s="2">
        <f t="shared" si="21"/>
        <v>-1.3580000000000001</v>
      </c>
      <c r="D314" s="2">
        <f t="shared" si="22"/>
        <v>-6.0924544143054387E-3</v>
      </c>
      <c r="E314" s="2">
        <f t="shared" si="24"/>
        <v>-3.742704329426727E-2</v>
      </c>
      <c r="F314" s="2">
        <f t="shared" si="23"/>
        <v>0.17598363242916393</v>
      </c>
      <c r="G314" s="2">
        <f t="shared" si="20"/>
        <v>0.17598363242916393</v>
      </c>
    </row>
    <row r="315" spans="1:7" x14ac:dyDescent="0.25">
      <c r="A315" s="18">
        <v>6.24</v>
      </c>
      <c r="B315" s="2">
        <v>-9.1500000000000001E-3</v>
      </c>
      <c r="C315" s="2">
        <f t="shared" si="21"/>
        <v>1.83</v>
      </c>
      <c r="D315" s="2">
        <f t="shared" si="22"/>
        <v>-7.472534927729548E-3</v>
      </c>
      <c r="E315" s="2">
        <f t="shared" si="24"/>
        <v>-3.6261849159894374E-2</v>
      </c>
      <c r="F315" s="2">
        <f t="shared" si="23"/>
        <v>0.23332604783188413</v>
      </c>
      <c r="G315" s="2">
        <f t="shared" si="20"/>
        <v>0.23332604783188413</v>
      </c>
    </row>
    <row r="316" spans="1:7" x14ac:dyDescent="0.25">
      <c r="A316" s="18">
        <v>6.26</v>
      </c>
      <c r="B316" s="2">
        <v>-2.5090000000000001E-2</v>
      </c>
      <c r="C316" s="2">
        <f t="shared" si="21"/>
        <v>5.0180000000000007</v>
      </c>
      <c r="D316" s="2">
        <f t="shared" si="22"/>
        <v>-8.7592850220209028E-3</v>
      </c>
      <c r="E316" s="2">
        <f t="shared" si="24"/>
        <v>-3.4502012835602731E-2</v>
      </c>
      <c r="F316" s="2">
        <f t="shared" si="23"/>
        <v>0.28786855066062489</v>
      </c>
      <c r="G316" s="2">
        <f t="shared" si="20"/>
        <v>0.28786855066062489</v>
      </c>
    </row>
    <row r="317" spans="1:7" x14ac:dyDescent="0.25">
      <c r="A317" s="18">
        <v>6.28</v>
      </c>
      <c r="B317" s="2">
        <v>-4.1029999999999997E-2</v>
      </c>
      <c r="C317" s="2">
        <f t="shared" si="21"/>
        <v>8.2059999999999995</v>
      </c>
      <c r="D317" s="2">
        <f t="shared" si="22"/>
        <v>-9.9308876960480068E-3</v>
      </c>
      <c r="E317" s="2">
        <f t="shared" si="24"/>
        <v>-3.2168752357283871E-2</v>
      </c>
      <c r="F317" s="2">
        <f t="shared" si="23"/>
        <v>0.33895663088143785</v>
      </c>
      <c r="G317" s="2">
        <f t="shared" si="20"/>
        <v>0.33895663088143785</v>
      </c>
    </row>
    <row r="318" spans="1:7" x14ac:dyDescent="0.25">
      <c r="A318" s="18">
        <v>6.3</v>
      </c>
      <c r="B318" s="2">
        <v>-5.6980000000000003E-2</v>
      </c>
      <c r="C318" s="2">
        <f t="shared" si="21"/>
        <v>11.396000000000001</v>
      </c>
      <c r="D318" s="2">
        <f t="shared" si="22"/>
        <v>-1.0966907717722536E-2</v>
      </c>
      <c r="E318" s="2">
        <f t="shared" si="24"/>
        <v>-2.9290066850677598E-2</v>
      </c>
      <c r="F318" s="2">
        <f t="shared" si="23"/>
        <v>0.38598723153167919</v>
      </c>
      <c r="G318" s="2">
        <f t="shared" si="20"/>
        <v>0.38598723153167919</v>
      </c>
    </row>
    <row r="319" spans="1:7" x14ac:dyDescent="0.25">
      <c r="A319" s="18">
        <v>6.32</v>
      </c>
      <c r="B319" s="2">
        <v>-1.8259999999999998E-2</v>
      </c>
      <c r="C319" s="2">
        <f t="shared" si="21"/>
        <v>3.6519999999999997</v>
      </c>
      <c r="D319" s="2">
        <f t="shared" si="22"/>
        <v>-1.1848532846784393E-2</v>
      </c>
      <c r="E319" s="2">
        <f t="shared" si="24"/>
        <v>-2.5900500541863221E-2</v>
      </c>
      <c r="F319" s="2">
        <f t="shared" si="23"/>
        <v>0.37371598540352713</v>
      </c>
      <c r="G319" s="2">
        <f t="shared" si="20"/>
        <v>0.37371598540352713</v>
      </c>
    </row>
    <row r="320" spans="1:7" x14ac:dyDescent="0.25">
      <c r="A320" s="18">
        <v>6.34</v>
      </c>
      <c r="B320" s="2">
        <v>2.0459999999999999E-2</v>
      </c>
      <c r="C320" s="2">
        <f t="shared" si="21"/>
        <v>-4.0919999999999996</v>
      </c>
      <c r="D320" s="2">
        <f t="shared" si="22"/>
        <v>-1.2580671581684839E-2</v>
      </c>
      <c r="E320" s="2">
        <f t="shared" si="24"/>
        <v>-2.2040628226546427E-2</v>
      </c>
      <c r="F320" s="2">
        <f t="shared" si="23"/>
        <v>0.35696014745054128</v>
      </c>
      <c r="G320" s="2">
        <f t="shared" si="20"/>
        <v>0.35696014745054128</v>
      </c>
    </row>
    <row r="321" spans="1:7" x14ac:dyDescent="0.25">
      <c r="A321" s="18">
        <v>6.36</v>
      </c>
      <c r="B321" s="2">
        <v>4.5399999999999998E-3</v>
      </c>
      <c r="C321" s="2">
        <f t="shared" si="21"/>
        <v>-0.90799999999999992</v>
      </c>
      <c r="D321" s="2">
        <f t="shared" si="22"/>
        <v>-1.3170026257605069E-2</v>
      </c>
      <c r="E321" s="2">
        <f t="shared" si="24"/>
        <v>-1.8303468372511157E-2</v>
      </c>
      <c r="F321" s="2">
        <f t="shared" si="23"/>
        <v>0.39056078772815944</v>
      </c>
      <c r="G321" s="2">
        <f t="shared" si="20"/>
        <v>0.39056078772815944</v>
      </c>
    </row>
    <row r="322" spans="1:7" x14ac:dyDescent="0.25">
      <c r="A322" s="18">
        <v>6.38</v>
      </c>
      <c r="B322" s="2">
        <v>-1.1379999999999999E-2</v>
      </c>
      <c r="C322" s="2">
        <f t="shared" si="21"/>
        <v>2.2759999999999998</v>
      </c>
      <c r="D322" s="2">
        <f t="shared" si="22"/>
        <v>-1.3603156618434035E-2</v>
      </c>
      <c r="E322" s="2">
        <f t="shared" si="24"/>
        <v>-1.4733866898005744E-2</v>
      </c>
      <c r="F322" s="2">
        <f t="shared" si="23"/>
        <v>0.41947469855301878</v>
      </c>
      <c r="G322" s="2">
        <f t="shared" ref="G322:G385" si="25">HLOOKUP($Y$3,$B$1:$F$1562,ROW(),0)</f>
        <v>0.41947469855301878</v>
      </c>
    </row>
    <row r="323" spans="1:7" x14ac:dyDescent="0.25">
      <c r="A323" s="18">
        <v>6.4</v>
      </c>
      <c r="B323" s="2">
        <v>-2.15E-3</v>
      </c>
      <c r="C323" s="2">
        <f t="shared" ref="C323:C386" si="26">-$M$4*B323</f>
        <v>0.43</v>
      </c>
      <c r="D323" s="2">
        <f t="shared" si="22"/>
        <v>-1.3868497099841793E-2</v>
      </c>
      <c r="E323" s="2">
        <f t="shared" si="24"/>
        <v>-1.082825902072415E-2</v>
      </c>
      <c r="F323" s="2">
        <f t="shared" si="23"/>
        <v>0.41820491299525936</v>
      </c>
      <c r="G323" s="2">
        <f t="shared" si="25"/>
        <v>0.41820491299525936</v>
      </c>
    </row>
    <row r="324" spans="1:7" x14ac:dyDescent="0.25">
      <c r="A324" s="18">
        <v>6.42</v>
      </c>
      <c r="B324" s="2">
        <v>7.0800000000000004E-3</v>
      </c>
      <c r="C324" s="2">
        <f t="shared" si="26"/>
        <v>-1.4160000000000001</v>
      </c>
      <c r="D324" s="2">
        <f t="shared" ref="D324:D387" si="27">(C323-($Q$6*D323)-($Q$7*D322))/$Q$5</f>
        <v>-1.3966555616051448E-2</v>
      </c>
      <c r="E324" s="2">
        <f t="shared" si="24"/>
        <v>-6.6335120351939617E-3</v>
      </c>
      <c r="F324" s="2">
        <f t="shared" ref="F324:F387" si="28">(D323-2*D324+D325)/($A$4^2)</f>
        <v>0.41191666848154701</v>
      </c>
      <c r="G324" s="2">
        <f t="shared" si="25"/>
        <v>0.41191666848154701</v>
      </c>
    </row>
    <row r="325" spans="1:7" x14ac:dyDescent="0.25">
      <c r="A325" s="18">
        <v>6.44</v>
      </c>
      <c r="B325" s="2">
        <v>4.96E-3</v>
      </c>
      <c r="C325" s="2">
        <f t="shared" si="26"/>
        <v>-0.99199999999999999</v>
      </c>
      <c r="D325" s="2">
        <f t="shared" si="27"/>
        <v>-1.3899847464868484E-2</v>
      </c>
      <c r="E325" s="2">
        <f t="shared" ref="E325:E388" si="29">(D324-D323)/(2*$A$4)</f>
        <v>-2.4514629052413677E-3</v>
      </c>
      <c r="F325" s="2">
        <f t="shared" si="28"/>
        <v>0.4120354239460543</v>
      </c>
      <c r="G325" s="2">
        <f t="shared" si="25"/>
        <v>0.4120354239460543</v>
      </c>
    </row>
    <row r="326" spans="1:7" x14ac:dyDescent="0.25">
      <c r="A326" s="18">
        <v>6.46</v>
      </c>
      <c r="B326" s="2">
        <v>2.8500000000000001E-3</v>
      </c>
      <c r="C326" s="2">
        <f t="shared" si="26"/>
        <v>-0.57000000000000006</v>
      </c>
      <c r="D326" s="2">
        <f t="shared" si="27"/>
        <v>-1.3668325144107098E-2</v>
      </c>
      <c r="E326" s="2">
        <f t="shared" si="29"/>
        <v>1.6677037795741027E-3</v>
      </c>
      <c r="F326" s="2">
        <f t="shared" si="28"/>
        <v>0.40719975432321542</v>
      </c>
      <c r="G326" s="2">
        <f t="shared" si="25"/>
        <v>0.40719975432321542</v>
      </c>
    </row>
    <row r="327" spans="1:7" x14ac:dyDescent="0.25">
      <c r="A327" s="18">
        <v>6.48</v>
      </c>
      <c r="B327" s="2">
        <v>7.3999999999999999E-4</v>
      </c>
      <c r="C327" s="2">
        <f t="shared" si="26"/>
        <v>-0.14799999999999999</v>
      </c>
      <c r="D327" s="2">
        <f t="shared" si="27"/>
        <v>-1.3273922921616426E-2</v>
      </c>
      <c r="E327" s="2">
        <f t="shared" si="29"/>
        <v>5.7880580190346458E-3</v>
      </c>
      <c r="F327" s="2">
        <f t="shared" si="28"/>
        <v>0.39747768764850089</v>
      </c>
      <c r="G327" s="2">
        <f t="shared" si="25"/>
        <v>0.39747768764850089</v>
      </c>
    </row>
    <row r="328" spans="1:7" x14ac:dyDescent="0.25">
      <c r="A328" s="18">
        <v>6.5</v>
      </c>
      <c r="B328" s="2">
        <v>-5.3400000000000001E-3</v>
      </c>
      <c r="C328" s="2">
        <f t="shared" si="26"/>
        <v>1.0680000000000001</v>
      </c>
      <c r="D328" s="2">
        <f t="shared" si="27"/>
        <v>-1.2720529624066354E-2</v>
      </c>
      <c r="E328" s="2">
        <f t="shared" si="29"/>
        <v>9.8600555622668003E-3</v>
      </c>
      <c r="F328" s="2">
        <f t="shared" si="28"/>
        <v>0.38695588872198444</v>
      </c>
      <c r="G328" s="2">
        <f t="shared" si="25"/>
        <v>0.38695588872198444</v>
      </c>
    </row>
    <row r="329" spans="1:7" x14ac:dyDescent="0.25">
      <c r="A329" s="18">
        <v>6.52</v>
      </c>
      <c r="B329" s="2">
        <v>-1.141E-2</v>
      </c>
      <c r="C329" s="2">
        <f t="shared" si="26"/>
        <v>2.282</v>
      </c>
      <c r="D329" s="2">
        <f t="shared" si="27"/>
        <v>-1.2012353971027488E-2</v>
      </c>
      <c r="E329" s="2">
        <f t="shared" si="29"/>
        <v>1.3834832438751809E-2</v>
      </c>
      <c r="F329" s="2">
        <f t="shared" si="28"/>
        <v>0.37178061913082422</v>
      </c>
      <c r="G329" s="2">
        <f t="shared" si="25"/>
        <v>0.37178061913082422</v>
      </c>
    </row>
    <row r="330" spans="1:7" x14ac:dyDescent="0.25">
      <c r="A330" s="18">
        <v>6.54</v>
      </c>
      <c r="B330" s="2">
        <v>3.6099999999999999E-3</v>
      </c>
      <c r="C330" s="2">
        <f t="shared" si="26"/>
        <v>-0.72199999999999998</v>
      </c>
      <c r="D330" s="2">
        <f t="shared" si="27"/>
        <v>-1.1155466070336292E-2</v>
      </c>
      <c r="E330" s="2">
        <f t="shared" si="29"/>
        <v>1.7704391325971652E-2</v>
      </c>
      <c r="F330" s="2">
        <f t="shared" si="28"/>
        <v>0.33105398211008724</v>
      </c>
      <c r="G330" s="2">
        <f t="shared" si="25"/>
        <v>0.33105398211008724</v>
      </c>
    </row>
    <row r="331" spans="1:7" x14ac:dyDescent="0.25">
      <c r="A331" s="18">
        <v>6.56</v>
      </c>
      <c r="B331" s="2">
        <v>1.8630000000000001E-2</v>
      </c>
      <c r="C331" s="2">
        <f t="shared" si="26"/>
        <v>-3.726</v>
      </c>
      <c r="D331" s="2">
        <f t="shared" si="27"/>
        <v>-1.0166156576801061E-2</v>
      </c>
      <c r="E331" s="2">
        <f t="shared" si="29"/>
        <v>2.1422197517279896E-2</v>
      </c>
      <c r="F331" s="2">
        <f t="shared" si="28"/>
        <v>0.28635469730402524</v>
      </c>
      <c r="G331" s="2">
        <f t="shared" si="25"/>
        <v>0.28635469730402524</v>
      </c>
    </row>
    <row r="332" spans="1:7" x14ac:dyDescent="0.25">
      <c r="A332" s="18">
        <v>6.58</v>
      </c>
      <c r="B332" s="2">
        <v>3.3649999999999999E-2</v>
      </c>
      <c r="C332" s="2">
        <f t="shared" si="26"/>
        <v>-6.7299999999999995</v>
      </c>
      <c r="D332" s="2">
        <f t="shared" si="27"/>
        <v>-9.06230520434422E-3</v>
      </c>
      <c r="E332" s="2">
        <f t="shared" si="29"/>
        <v>2.4732737338380769E-2</v>
      </c>
      <c r="F332" s="2">
        <f t="shared" si="28"/>
        <v>0.23821915613032266</v>
      </c>
      <c r="G332" s="2">
        <f t="shared" si="25"/>
        <v>0.23821915613032266</v>
      </c>
    </row>
    <row r="333" spans="1:7" x14ac:dyDescent="0.25">
      <c r="A333" s="18">
        <v>6.6</v>
      </c>
      <c r="B333" s="2">
        <v>4.8669999999999998E-2</v>
      </c>
      <c r="C333" s="2">
        <f t="shared" si="26"/>
        <v>-9.734</v>
      </c>
      <c r="D333" s="2">
        <f t="shared" si="27"/>
        <v>-7.8631661694352501E-3</v>
      </c>
      <c r="E333" s="2">
        <f t="shared" si="29"/>
        <v>2.759628431142102E-2</v>
      </c>
      <c r="F333" s="2">
        <f t="shared" si="28"/>
        <v>0.18722498508305693</v>
      </c>
      <c r="G333" s="2">
        <f t="shared" si="25"/>
        <v>0.18722498508305693</v>
      </c>
    </row>
    <row r="334" spans="1:7" x14ac:dyDescent="0.25">
      <c r="A334" s="18">
        <v>6.62</v>
      </c>
      <c r="B334" s="2">
        <v>3.04E-2</v>
      </c>
      <c r="C334" s="2">
        <f t="shared" si="26"/>
        <v>-6.08</v>
      </c>
      <c r="D334" s="2">
        <f t="shared" si="27"/>
        <v>-6.5891371404930574E-3</v>
      </c>
      <c r="E334" s="2">
        <f t="shared" si="29"/>
        <v>2.9978475872724248E-2</v>
      </c>
      <c r="F334" s="2">
        <f t="shared" si="28"/>
        <v>0.16727411421478933</v>
      </c>
      <c r="G334" s="2">
        <f t="shared" si="25"/>
        <v>0.16727411421478933</v>
      </c>
    </row>
    <row r="335" spans="1:7" x14ac:dyDescent="0.25">
      <c r="A335" s="18">
        <v>6.64</v>
      </c>
      <c r="B335" s="2">
        <v>1.213E-2</v>
      </c>
      <c r="C335" s="2">
        <f t="shared" si="26"/>
        <v>-2.4260000000000002</v>
      </c>
      <c r="D335" s="2">
        <f t="shared" si="27"/>
        <v>-5.248198465864949E-3</v>
      </c>
      <c r="E335" s="2">
        <f t="shared" si="29"/>
        <v>3.1850725723554817E-2</v>
      </c>
      <c r="F335" s="2">
        <f t="shared" si="28"/>
        <v>0.14531595397594751</v>
      </c>
      <c r="G335" s="2">
        <f t="shared" si="25"/>
        <v>0.14531595397594751</v>
      </c>
    </row>
    <row r="336" spans="1:7" x14ac:dyDescent="0.25">
      <c r="A336" s="18">
        <v>6.66</v>
      </c>
      <c r="B336" s="2">
        <v>-6.1399999999999996E-3</v>
      </c>
      <c r="C336" s="2">
        <f t="shared" si="26"/>
        <v>1.228</v>
      </c>
      <c r="D336" s="2">
        <f t="shared" si="27"/>
        <v>-3.8491334096464615E-3</v>
      </c>
      <c r="E336" s="2">
        <f t="shared" si="29"/>
        <v>3.3523466865702713E-2</v>
      </c>
      <c r="F336" s="2">
        <f t="shared" si="28"/>
        <v>0.12161400228939516</v>
      </c>
      <c r="G336" s="2">
        <f t="shared" si="25"/>
        <v>0.12161400228939516</v>
      </c>
    </row>
    <row r="337" spans="1:7" x14ac:dyDescent="0.25">
      <c r="A337" s="18">
        <v>6.68</v>
      </c>
      <c r="B337" s="2">
        <v>-2.4410000000000001E-2</v>
      </c>
      <c r="C337" s="2">
        <f t="shared" si="26"/>
        <v>4.8820000000000006</v>
      </c>
      <c r="D337" s="2">
        <f t="shared" si="27"/>
        <v>-2.401422752512216E-3</v>
      </c>
      <c r="E337" s="2">
        <f t="shared" si="29"/>
        <v>3.4976626405462188E-2</v>
      </c>
      <c r="F337" s="2">
        <f t="shared" si="28"/>
        <v>9.6452682575366197E-2</v>
      </c>
      <c r="G337" s="2">
        <f t="shared" si="25"/>
        <v>9.6452682575366197E-2</v>
      </c>
    </row>
    <row r="338" spans="1:7" x14ac:dyDescent="0.25">
      <c r="A338" s="18">
        <v>6.7</v>
      </c>
      <c r="B338" s="2">
        <v>1.375E-2</v>
      </c>
      <c r="C338" s="2">
        <f t="shared" si="26"/>
        <v>-2.75</v>
      </c>
      <c r="D338" s="2">
        <f t="shared" si="27"/>
        <v>-9.1513102234782402E-4</v>
      </c>
      <c r="E338" s="2">
        <f t="shared" si="29"/>
        <v>3.6192766428356136E-2</v>
      </c>
      <c r="F338" s="2">
        <f t="shared" si="28"/>
        <v>1.3703930670434544E-2</v>
      </c>
      <c r="G338" s="2">
        <f t="shared" si="25"/>
        <v>1.3703930670434544E-2</v>
      </c>
    </row>
    <row r="339" spans="1:7" x14ac:dyDescent="0.25">
      <c r="A339" s="18">
        <v>6.72</v>
      </c>
      <c r="B339" s="2">
        <v>1.099E-2</v>
      </c>
      <c r="C339" s="2">
        <f t="shared" si="26"/>
        <v>-2.198</v>
      </c>
      <c r="D339" s="2">
        <f t="shared" si="27"/>
        <v>5.7664228008474179E-4</v>
      </c>
      <c r="E339" s="2">
        <f t="shared" si="29"/>
        <v>3.7157293254109797E-2</v>
      </c>
      <c r="F339" s="2">
        <f t="shared" si="28"/>
        <v>-2.8289268402542513E-2</v>
      </c>
      <c r="G339" s="2">
        <f t="shared" si="25"/>
        <v>-2.8289268402542513E-2</v>
      </c>
    </row>
    <row r="340" spans="1:7" x14ac:dyDescent="0.25">
      <c r="A340" s="18">
        <v>6.74</v>
      </c>
      <c r="B340" s="2">
        <v>8.2299999999999995E-3</v>
      </c>
      <c r="C340" s="2">
        <f t="shared" si="26"/>
        <v>-1.6459999999999999</v>
      </c>
      <c r="D340" s="2">
        <f t="shared" si="27"/>
        <v>2.0570998751562905E-3</v>
      </c>
      <c r="E340" s="2">
        <f t="shared" si="29"/>
        <v>3.7294332560814145E-2</v>
      </c>
      <c r="F340" s="2">
        <f t="shared" si="28"/>
        <v>-6.994299625468825E-2</v>
      </c>
      <c r="G340" s="2">
        <f t="shared" si="25"/>
        <v>-6.994299625468825E-2</v>
      </c>
    </row>
    <row r="341" spans="1:7" x14ac:dyDescent="0.25">
      <c r="A341" s="18">
        <v>6.76</v>
      </c>
      <c r="B341" s="2">
        <v>5.47E-3</v>
      </c>
      <c r="C341" s="2">
        <f t="shared" si="26"/>
        <v>-1.0940000000000001</v>
      </c>
      <c r="D341" s="2">
        <f t="shared" si="27"/>
        <v>3.5095802717259638E-3</v>
      </c>
      <c r="E341" s="2">
        <f t="shared" si="29"/>
        <v>3.7011439876788711E-2</v>
      </c>
      <c r="F341" s="2">
        <f t="shared" si="28"/>
        <v>-0.11075740815178012</v>
      </c>
      <c r="G341" s="2">
        <f t="shared" si="25"/>
        <v>-0.11075740815178012</v>
      </c>
    </row>
    <row r="342" spans="1:7" x14ac:dyDescent="0.25">
      <c r="A342" s="18">
        <v>6.78</v>
      </c>
      <c r="B342" s="2">
        <v>8.1200000000000005E-3</v>
      </c>
      <c r="C342" s="2">
        <f t="shared" si="26"/>
        <v>-1.6240000000000001</v>
      </c>
      <c r="D342" s="2">
        <f t="shared" si="27"/>
        <v>4.9177577050349246E-3</v>
      </c>
      <c r="E342" s="2">
        <f t="shared" si="29"/>
        <v>3.6312009914241834E-2</v>
      </c>
      <c r="F342" s="2">
        <f t="shared" si="28"/>
        <v>-0.15565273115104902</v>
      </c>
      <c r="G342" s="2">
        <f t="shared" si="25"/>
        <v>-0.15565273115104902</v>
      </c>
    </row>
    <row r="343" spans="1:7" x14ac:dyDescent="0.25">
      <c r="A343" s="18">
        <v>6.8</v>
      </c>
      <c r="B343" s="2">
        <v>1.077E-2</v>
      </c>
      <c r="C343" s="2">
        <f t="shared" si="26"/>
        <v>-2.1539999999999999</v>
      </c>
      <c r="D343" s="2">
        <f t="shared" si="27"/>
        <v>6.2636740458834658E-3</v>
      </c>
      <c r="E343" s="2">
        <f t="shared" si="29"/>
        <v>3.5204435832724021E-2</v>
      </c>
      <c r="F343" s="2">
        <f t="shared" si="28"/>
        <v>-0.19868022137650795</v>
      </c>
      <c r="G343" s="2">
        <f t="shared" si="25"/>
        <v>-0.19868022137650795</v>
      </c>
    </row>
    <row r="344" spans="1:7" x14ac:dyDescent="0.25">
      <c r="A344" s="18">
        <v>6.82</v>
      </c>
      <c r="B344" s="2">
        <v>-6.9199999999999999E-3</v>
      </c>
      <c r="C344" s="2">
        <f t="shared" si="26"/>
        <v>1.3839999999999999</v>
      </c>
      <c r="D344" s="2">
        <f t="shared" si="27"/>
        <v>7.5301182981814038E-3</v>
      </c>
      <c r="E344" s="2">
        <f t="shared" si="29"/>
        <v>3.3647908521213528E-2</v>
      </c>
      <c r="F344" s="2">
        <f t="shared" si="28"/>
        <v>-0.21898354894544103</v>
      </c>
      <c r="G344" s="2">
        <f t="shared" si="25"/>
        <v>-0.21898354894544103</v>
      </c>
    </row>
    <row r="345" spans="1:7" x14ac:dyDescent="0.25">
      <c r="A345" s="18">
        <v>6.84</v>
      </c>
      <c r="B345" s="2">
        <v>-2.461E-2</v>
      </c>
      <c r="C345" s="2">
        <f t="shared" si="26"/>
        <v>4.9219999999999997</v>
      </c>
      <c r="D345" s="2">
        <f t="shared" si="27"/>
        <v>8.7089691309011653E-3</v>
      </c>
      <c r="E345" s="2">
        <f t="shared" si="29"/>
        <v>3.166110630744845E-2</v>
      </c>
      <c r="F345" s="2">
        <f t="shared" si="28"/>
        <v>-0.23665907392703045</v>
      </c>
      <c r="G345" s="2">
        <f t="shared" si="25"/>
        <v>-0.23665907392703045</v>
      </c>
    </row>
    <row r="346" spans="1:7" x14ac:dyDescent="0.25">
      <c r="A346" s="18">
        <v>6.86</v>
      </c>
      <c r="B346" s="2">
        <v>-4.2299999999999997E-2</v>
      </c>
      <c r="C346" s="2">
        <f t="shared" si="26"/>
        <v>8.4599999999999991</v>
      </c>
      <c r="D346" s="2">
        <f t="shared" si="27"/>
        <v>9.7931563340501147E-3</v>
      </c>
      <c r="E346" s="2">
        <f t="shared" si="29"/>
        <v>2.9471270817994038E-2</v>
      </c>
      <c r="F346" s="2">
        <f t="shared" si="28"/>
        <v>-0.25149469002150837</v>
      </c>
      <c r="G346" s="2">
        <f t="shared" si="25"/>
        <v>-0.25149469002150837</v>
      </c>
    </row>
    <row r="347" spans="1:7" x14ac:dyDescent="0.25">
      <c r="A347" s="18">
        <v>6.88</v>
      </c>
      <c r="B347" s="2">
        <v>-5.9990000000000002E-2</v>
      </c>
      <c r="C347" s="2">
        <f t="shared" si="26"/>
        <v>11.998000000000001</v>
      </c>
      <c r="D347" s="2">
        <f t="shared" si="27"/>
        <v>1.0776745661190461E-2</v>
      </c>
      <c r="E347" s="2">
        <f t="shared" si="29"/>
        <v>2.7104680078723735E-2</v>
      </c>
      <c r="F347" s="2">
        <f t="shared" si="28"/>
        <v>-0.26331236983571316</v>
      </c>
      <c r="G347" s="2">
        <f t="shared" si="25"/>
        <v>-0.26331236983571316</v>
      </c>
    </row>
    <row r="348" spans="1:7" x14ac:dyDescent="0.25">
      <c r="A348" s="18">
        <v>6.9</v>
      </c>
      <c r="B348" s="2">
        <v>-7.7679999999999999E-2</v>
      </c>
      <c r="C348" s="2">
        <f t="shared" si="26"/>
        <v>15.536</v>
      </c>
      <c r="D348" s="2">
        <f t="shared" si="27"/>
        <v>1.1655010040396522E-2</v>
      </c>
      <c r="E348" s="2">
        <f t="shared" si="29"/>
        <v>2.4589733178508651E-2</v>
      </c>
      <c r="F348" s="2">
        <f t="shared" si="28"/>
        <v>-0.27197030121189902</v>
      </c>
      <c r="G348" s="2">
        <f t="shared" si="25"/>
        <v>-0.27197030121189902</v>
      </c>
    </row>
    <row r="349" spans="1:7" x14ac:dyDescent="0.25">
      <c r="A349" s="18">
        <v>6.92</v>
      </c>
      <c r="B349" s="2">
        <v>-9.5380000000000006E-2</v>
      </c>
      <c r="C349" s="2">
        <f t="shared" si="26"/>
        <v>19.076000000000001</v>
      </c>
      <c r="D349" s="2">
        <f t="shared" si="27"/>
        <v>1.2424486299117823E-2</v>
      </c>
      <c r="E349" s="2">
        <f t="shared" si="29"/>
        <v>2.1956609480151518E-2</v>
      </c>
      <c r="F349" s="2">
        <f t="shared" si="28"/>
        <v>-0.2773545889735336</v>
      </c>
      <c r="G349" s="2">
        <f t="shared" si="25"/>
        <v>-0.2773545889735336</v>
      </c>
    </row>
    <row r="350" spans="1:7" x14ac:dyDescent="0.25">
      <c r="A350" s="18">
        <v>6.94</v>
      </c>
      <c r="B350" s="2">
        <v>-6.2089999999999999E-2</v>
      </c>
      <c r="C350" s="2">
        <f t="shared" si="26"/>
        <v>12.417999999999999</v>
      </c>
      <c r="D350" s="2">
        <f t="shared" si="27"/>
        <v>1.308302072224971E-2</v>
      </c>
      <c r="E350" s="2">
        <f t="shared" si="29"/>
        <v>1.9236906468032527E-2</v>
      </c>
      <c r="F350" s="2">
        <f t="shared" si="28"/>
        <v>-0.33040062166749851</v>
      </c>
      <c r="G350" s="2">
        <f t="shared" si="25"/>
        <v>-0.33040062166749851</v>
      </c>
    </row>
    <row r="351" spans="1:7" x14ac:dyDescent="0.25">
      <c r="A351" s="18">
        <v>6.96</v>
      </c>
      <c r="B351" s="2">
        <v>-2.8799999999999999E-2</v>
      </c>
      <c r="C351" s="2">
        <f t="shared" si="26"/>
        <v>5.76</v>
      </c>
      <c r="D351" s="2">
        <f t="shared" si="27"/>
        <v>1.3609394896714599E-2</v>
      </c>
      <c r="E351" s="2">
        <f t="shared" si="29"/>
        <v>1.6463360578297191E-2</v>
      </c>
      <c r="F351" s="2">
        <f t="shared" si="28"/>
        <v>-0.37948184690143272</v>
      </c>
      <c r="G351" s="2">
        <f t="shared" si="25"/>
        <v>-0.37948184690143272</v>
      </c>
    </row>
    <row r="352" spans="1:7" x14ac:dyDescent="0.25">
      <c r="A352" s="18">
        <v>6.98</v>
      </c>
      <c r="B352" s="2">
        <v>4.4799999999999996E-3</v>
      </c>
      <c r="C352" s="2">
        <f t="shared" si="26"/>
        <v>-0.89599999999999991</v>
      </c>
      <c r="D352" s="2">
        <f t="shared" si="27"/>
        <v>1.3983976332418914E-2</v>
      </c>
      <c r="E352" s="2">
        <f t="shared" si="29"/>
        <v>1.3159354361622208E-2</v>
      </c>
      <c r="F352" s="2">
        <f t="shared" si="28"/>
        <v>-0.42399928997257413</v>
      </c>
      <c r="G352" s="2">
        <f t="shared" si="25"/>
        <v>-0.42399928997257413</v>
      </c>
    </row>
    <row r="353" spans="1:7" x14ac:dyDescent="0.25">
      <c r="A353" s="18">
        <v>7</v>
      </c>
      <c r="B353" s="2">
        <v>3.7769999999999998E-2</v>
      </c>
      <c r="C353" s="2">
        <f t="shared" si="26"/>
        <v>-7.5539999999999994</v>
      </c>
      <c r="D353" s="2">
        <f t="shared" si="27"/>
        <v>1.41889580521342E-2</v>
      </c>
      <c r="E353" s="2">
        <f t="shared" si="29"/>
        <v>9.3645358926078802E-3</v>
      </c>
      <c r="F353" s="2">
        <f t="shared" si="28"/>
        <v>-0.46343874156402115</v>
      </c>
      <c r="G353" s="2">
        <f t="shared" si="25"/>
        <v>-0.46343874156402115</v>
      </c>
    </row>
    <row r="354" spans="1:7" x14ac:dyDescent="0.25">
      <c r="A354" s="18">
        <v>7.02</v>
      </c>
      <c r="B354" s="2">
        <v>1.7729999999999999E-2</v>
      </c>
      <c r="C354" s="2">
        <f t="shared" si="26"/>
        <v>-3.5459999999999998</v>
      </c>
      <c r="D354" s="2">
        <f t="shared" si="27"/>
        <v>1.4208564275223877E-2</v>
      </c>
      <c r="E354" s="2">
        <f t="shared" si="29"/>
        <v>5.1245429928821386E-3</v>
      </c>
      <c r="F354" s="2">
        <f t="shared" si="28"/>
        <v>-0.44398692825672009</v>
      </c>
      <c r="G354" s="2">
        <f t="shared" si="25"/>
        <v>-0.44398692825672009</v>
      </c>
    </row>
    <row r="355" spans="1:7" x14ac:dyDescent="0.25">
      <c r="A355" s="18">
        <v>7.04</v>
      </c>
      <c r="B355" s="2">
        <v>-2.31E-3</v>
      </c>
      <c r="C355" s="2">
        <f t="shared" si="26"/>
        <v>0.46200000000000002</v>
      </c>
      <c r="D355" s="2">
        <f t="shared" si="27"/>
        <v>1.4050575727010866E-2</v>
      </c>
      <c r="E355" s="2">
        <f t="shared" si="29"/>
        <v>4.9015557724192693E-4</v>
      </c>
      <c r="F355" s="2">
        <f t="shared" si="28"/>
        <v>-0.4192072718103238</v>
      </c>
      <c r="G355" s="2">
        <f t="shared" si="25"/>
        <v>-0.4192072718103238</v>
      </c>
    </row>
    <row r="356" spans="1:7" x14ac:dyDescent="0.25">
      <c r="A356" s="18">
        <v>7.06</v>
      </c>
      <c r="B356" s="2">
        <v>-2.2349999999999998E-2</v>
      </c>
      <c r="C356" s="2">
        <f t="shared" si="26"/>
        <v>4.47</v>
      </c>
      <c r="D356" s="2">
        <f t="shared" si="27"/>
        <v>1.3724904270073725E-2</v>
      </c>
      <c r="E356" s="2">
        <f t="shared" si="29"/>
        <v>-3.9497137053252744E-3</v>
      </c>
      <c r="F356" s="2">
        <f t="shared" si="28"/>
        <v>-0.38939712810221422</v>
      </c>
      <c r="G356" s="2">
        <f t="shared" si="25"/>
        <v>-0.38939712810221422</v>
      </c>
    </row>
    <row r="357" spans="1:7" x14ac:dyDescent="0.25">
      <c r="A357" s="18">
        <v>7.08</v>
      </c>
      <c r="B357" s="2">
        <v>1.7909999999999999E-2</v>
      </c>
      <c r="C357" s="2">
        <f t="shared" si="26"/>
        <v>-3.5819999999999999</v>
      </c>
      <c r="D357" s="2">
        <f t="shared" si="27"/>
        <v>1.3243473961895699E-2</v>
      </c>
      <c r="E357" s="2">
        <f t="shared" si="29"/>
        <v>-8.1417864234285126E-3</v>
      </c>
      <c r="F357" s="2">
        <f t="shared" si="28"/>
        <v>-0.41521421885687065</v>
      </c>
      <c r="G357" s="2">
        <f t="shared" si="25"/>
        <v>-0.41521421885687065</v>
      </c>
    </row>
    <row r="358" spans="1:7" x14ac:dyDescent="0.25">
      <c r="A358" s="18">
        <v>7.1</v>
      </c>
      <c r="B358" s="2">
        <v>5.8160000000000003E-2</v>
      </c>
      <c r="C358" s="2">
        <f t="shared" si="26"/>
        <v>-11.632000000000001</v>
      </c>
      <c r="D358" s="2">
        <f t="shared" si="27"/>
        <v>1.2595957966174924E-2</v>
      </c>
      <c r="E358" s="2">
        <f t="shared" si="29"/>
        <v>-1.2035757704450655E-2</v>
      </c>
      <c r="F358" s="2">
        <f t="shared" si="28"/>
        <v>-0.4360387389852442</v>
      </c>
      <c r="G358" s="2">
        <f t="shared" si="25"/>
        <v>-0.4360387389852442</v>
      </c>
    </row>
    <row r="359" spans="1:7" x14ac:dyDescent="0.25">
      <c r="A359" s="18">
        <v>7.12</v>
      </c>
      <c r="B359" s="2">
        <v>3.7379999999999997E-2</v>
      </c>
      <c r="C359" s="2">
        <f t="shared" si="26"/>
        <v>-7.4759999999999991</v>
      </c>
      <c r="D359" s="2">
        <f t="shared" si="27"/>
        <v>1.1774026474860052E-2</v>
      </c>
      <c r="E359" s="2">
        <f t="shared" si="29"/>
        <v>-1.6187899893019362E-2</v>
      </c>
      <c r="F359" s="2">
        <f t="shared" si="28"/>
        <v>-0.39060079424580674</v>
      </c>
      <c r="G359" s="2">
        <f t="shared" si="25"/>
        <v>-0.39060079424580674</v>
      </c>
    </row>
    <row r="360" spans="1:7" x14ac:dyDescent="0.25">
      <c r="A360" s="18">
        <v>7.14</v>
      </c>
      <c r="B360" s="2">
        <v>1.66E-2</v>
      </c>
      <c r="C360" s="2">
        <f t="shared" si="26"/>
        <v>-3.32</v>
      </c>
      <c r="D360" s="2">
        <f t="shared" si="27"/>
        <v>1.0795854665846857E-2</v>
      </c>
      <c r="E360" s="2">
        <f t="shared" si="29"/>
        <v>-2.0548287282871804E-2</v>
      </c>
      <c r="F360" s="2">
        <f t="shared" si="28"/>
        <v>-0.34047563997540664</v>
      </c>
      <c r="G360" s="2">
        <f t="shared" si="25"/>
        <v>-0.34047563997540664</v>
      </c>
    </row>
    <row r="361" spans="1:7" x14ac:dyDescent="0.25">
      <c r="A361" s="18">
        <v>7.16</v>
      </c>
      <c r="B361" s="2">
        <v>-4.1799999999999997E-3</v>
      </c>
      <c r="C361" s="2">
        <f t="shared" si="26"/>
        <v>0.83599999999999997</v>
      </c>
      <c r="D361" s="2">
        <f t="shared" si="27"/>
        <v>9.6814926008434998E-3</v>
      </c>
      <c r="E361" s="2">
        <f t="shared" si="29"/>
        <v>-2.445429522532987E-2</v>
      </c>
      <c r="F361" s="2">
        <f t="shared" si="28"/>
        <v>-0.28626477802530526</v>
      </c>
      <c r="G361" s="2">
        <f t="shared" si="25"/>
        <v>-0.28626477802530526</v>
      </c>
    </row>
    <row r="362" spans="1:7" x14ac:dyDescent="0.25">
      <c r="A362" s="18">
        <v>7.18</v>
      </c>
      <c r="B362" s="2">
        <v>-2.496E-2</v>
      </c>
      <c r="C362" s="2">
        <f t="shared" si="26"/>
        <v>4.992</v>
      </c>
      <c r="D362" s="2">
        <f t="shared" si="27"/>
        <v>8.4526246246300202E-3</v>
      </c>
      <c r="E362" s="2">
        <f t="shared" si="29"/>
        <v>-2.7859051625083939E-2</v>
      </c>
      <c r="F362" s="2">
        <f t="shared" si="28"/>
        <v>-0.22861873873889804</v>
      </c>
      <c r="G362" s="2">
        <f t="shared" si="25"/>
        <v>-0.22861873873889804</v>
      </c>
    </row>
    <row r="363" spans="1:7" x14ac:dyDescent="0.25">
      <c r="A363" s="18">
        <v>7.2</v>
      </c>
      <c r="B363" s="2">
        <v>-4.5740000000000003E-2</v>
      </c>
      <c r="C363" s="2">
        <f t="shared" si="26"/>
        <v>9.1479999999999997</v>
      </c>
      <c r="D363" s="2">
        <f t="shared" si="27"/>
        <v>7.1323091529209813E-3</v>
      </c>
      <c r="E363" s="2">
        <f t="shared" si="29"/>
        <v>-3.0721699405336991E-2</v>
      </c>
      <c r="F363" s="2">
        <f t="shared" si="28"/>
        <v>-0.16822927458762671</v>
      </c>
      <c r="G363" s="2">
        <f t="shared" si="25"/>
        <v>-0.16822927458762671</v>
      </c>
    </row>
    <row r="364" spans="1:7" x14ac:dyDescent="0.25">
      <c r="A364" s="18">
        <v>7.22</v>
      </c>
      <c r="B364" s="2">
        <v>-2.0709999999999999E-2</v>
      </c>
      <c r="C364" s="2">
        <f t="shared" si="26"/>
        <v>4.1419999999999995</v>
      </c>
      <c r="D364" s="2">
        <f t="shared" si="27"/>
        <v>5.7447019713768917E-3</v>
      </c>
      <c r="E364" s="2">
        <f t="shared" si="29"/>
        <v>-3.3007886792725968E-2</v>
      </c>
      <c r="F364" s="2">
        <f t="shared" si="28"/>
        <v>-0.15163105914130659</v>
      </c>
      <c r="G364" s="2">
        <f t="shared" si="25"/>
        <v>-0.15163105914130659</v>
      </c>
    </row>
    <row r="365" spans="1:7" x14ac:dyDescent="0.25">
      <c r="A365" s="18">
        <v>7.24</v>
      </c>
      <c r="B365" s="2">
        <v>4.3200000000000001E-3</v>
      </c>
      <c r="C365" s="2">
        <f t="shared" si="26"/>
        <v>-0.86399999999999999</v>
      </c>
      <c r="D365" s="2">
        <f t="shared" si="27"/>
        <v>4.2964423661762795E-3</v>
      </c>
      <c r="E365" s="2">
        <f t="shared" si="29"/>
        <v>-3.4690179538602241E-2</v>
      </c>
      <c r="F365" s="2">
        <f t="shared" si="28"/>
        <v>-0.13321327098528332</v>
      </c>
      <c r="G365" s="2">
        <f t="shared" si="25"/>
        <v>-0.13321327098528332</v>
      </c>
    </row>
    <row r="366" spans="1:7" x14ac:dyDescent="0.25">
      <c r="A366" s="18">
        <v>7.26</v>
      </c>
      <c r="B366" s="2">
        <v>2.9350000000000001E-2</v>
      </c>
      <c r="C366" s="2">
        <f t="shared" si="26"/>
        <v>-5.87</v>
      </c>
      <c r="D366" s="2">
        <f t="shared" si="27"/>
        <v>2.794897452581554E-3</v>
      </c>
      <c r="E366" s="2">
        <f t="shared" si="29"/>
        <v>-3.6206490130015305E-2</v>
      </c>
      <c r="F366" s="2">
        <f t="shared" si="28"/>
        <v>-0.11319692357744626</v>
      </c>
      <c r="G366" s="2">
        <f t="shared" si="25"/>
        <v>-0.11319692357744626</v>
      </c>
    </row>
    <row r="367" spans="1:7" x14ac:dyDescent="0.25">
      <c r="A367" s="18">
        <v>7.28</v>
      </c>
      <c r="B367" s="2">
        <v>1.5259999999999999E-2</v>
      </c>
      <c r="C367" s="2">
        <f t="shared" si="26"/>
        <v>-3.052</v>
      </c>
      <c r="D367" s="2">
        <f t="shared" si="27"/>
        <v>1.24807376955585E-3</v>
      </c>
      <c r="E367" s="2">
        <f t="shared" si="29"/>
        <v>-3.7538622839868141E-2</v>
      </c>
      <c r="F367" s="2">
        <f t="shared" si="28"/>
        <v>-5.2702213086673909E-2</v>
      </c>
      <c r="G367" s="2">
        <f t="shared" si="25"/>
        <v>-5.2702213086673909E-2</v>
      </c>
    </row>
    <row r="368" spans="1:7" x14ac:dyDescent="0.25">
      <c r="A368" s="18">
        <v>7.3</v>
      </c>
      <c r="B368" s="2">
        <v>1.806E-2</v>
      </c>
      <c r="C368" s="2">
        <f t="shared" si="26"/>
        <v>-3.6120000000000001</v>
      </c>
      <c r="D368" s="2">
        <f t="shared" si="27"/>
        <v>-3.1983079870452364E-4</v>
      </c>
      <c r="E368" s="2">
        <f t="shared" si="29"/>
        <v>-3.86705920756426E-2</v>
      </c>
      <c r="F368" s="2">
        <f t="shared" si="28"/>
        <v>-8.4650760388648005E-3</v>
      </c>
      <c r="G368" s="2">
        <f t="shared" si="25"/>
        <v>-8.4650760388648005E-3</v>
      </c>
    </row>
    <row r="369" spans="1:7" x14ac:dyDescent="0.25">
      <c r="A369" s="18">
        <v>7.32</v>
      </c>
      <c r="B369" s="2">
        <v>2.086E-2</v>
      </c>
      <c r="C369" s="2">
        <f t="shared" si="26"/>
        <v>-4.1719999999999997</v>
      </c>
      <c r="D369" s="2">
        <f t="shared" si="27"/>
        <v>-1.8911213973804432E-3</v>
      </c>
      <c r="E369" s="2">
        <f t="shared" si="29"/>
        <v>-3.9197614206509336E-2</v>
      </c>
      <c r="F369" s="2">
        <f t="shared" si="28"/>
        <v>3.587364192141388E-2</v>
      </c>
      <c r="G369" s="2">
        <f t="shared" si="25"/>
        <v>3.587364192141388E-2</v>
      </c>
    </row>
    <row r="370" spans="1:7" x14ac:dyDescent="0.25">
      <c r="A370" s="18">
        <v>7.34</v>
      </c>
      <c r="B370" s="2">
        <v>7.9299999999999995E-3</v>
      </c>
      <c r="C370" s="2">
        <f t="shared" si="26"/>
        <v>-1.5859999999999999</v>
      </c>
      <c r="D370" s="2">
        <f t="shared" si="27"/>
        <v>-3.4480625392877971E-3</v>
      </c>
      <c r="E370" s="2">
        <f t="shared" si="29"/>
        <v>-3.928226496689799E-2</v>
      </c>
      <c r="F370" s="2">
        <f t="shared" si="28"/>
        <v>9.5511876178637392E-2</v>
      </c>
      <c r="G370" s="2">
        <f t="shared" si="25"/>
        <v>9.5511876178637392E-2</v>
      </c>
    </row>
    <row r="371" spans="1:7" x14ac:dyDescent="0.25">
      <c r="A371" s="18">
        <v>7.36</v>
      </c>
      <c r="B371" s="2">
        <v>-5.0099999999999997E-3</v>
      </c>
      <c r="C371" s="2">
        <f t="shared" si="26"/>
        <v>1.002</v>
      </c>
      <c r="D371" s="2">
        <f t="shared" si="27"/>
        <v>-4.9667989307236966E-3</v>
      </c>
      <c r="E371" s="2">
        <f t="shared" si="29"/>
        <v>-3.8923528547683849E-2</v>
      </c>
      <c r="F371" s="2">
        <f t="shared" si="28"/>
        <v>0.15401396792171557</v>
      </c>
      <c r="G371" s="2">
        <f t="shared" si="25"/>
        <v>0.15401396792171557</v>
      </c>
    </row>
    <row r="372" spans="1:7" x14ac:dyDescent="0.25">
      <c r="A372" s="18">
        <v>7.38</v>
      </c>
      <c r="B372" s="2">
        <v>-1.7950000000000001E-2</v>
      </c>
      <c r="C372" s="2">
        <f t="shared" si="26"/>
        <v>3.5900000000000003</v>
      </c>
      <c r="D372" s="2">
        <f t="shared" si="27"/>
        <v>-6.4239297349909102E-3</v>
      </c>
      <c r="E372" s="2">
        <f t="shared" si="29"/>
        <v>-3.7968409785897488E-2</v>
      </c>
      <c r="F372" s="2">
        <f t="shared" si="28"/>
        <v>0.21066789204972564</v>
      </c>
      <c r="G372" s="2">
        <f t="shared" si="25"/>
        <v>0.21066789204972564</v>
      </c>
    </row>
    <row r="373" spans="1:7" x14ac:dyDescent="0.25">
      <c r="A373" s="18">
        <v>7.4</v>
      </c>
      <c r="B373" s="2">
        <v>-3.0890000000000001E-2</v>
      </c>
      <c r="C373" s="2">
        <f t="shared" si="26"/>
        <v>6.1779999999999999</v>
      </c>
      <c r="D373" s="2">
        <f t="shared" si="27"/>
        <v>-7.7967933824382328E-3</v>
      </c>
      <c r="E373" s="2">
        <f t="shared" si="29"/>
        <v>-3.6428270106680344E-2</v>
      </c>
      <c r="F373" s="2">
        <f t="shared" si="28"/>
        <v>0.26479380147314929</v>
      </c>
      <c r="G373" s="2">
        <f t="shared" si="25"/>
        <v>0.26479380147314929</v>
      </c>
    </row>
    <row r="374" spans="1:7" x14ac:dyDescent="0.25">
      <c r="A374" s="18">
        <v>7.42</v>
      </c>
      <c r="B374" s="2">
        <v>-1.8409999999999999E-2</v>
      </c>
      <c r="C374" s="2">
        <f t="shared" si="26"/>
        <v>3.6819999999999999</v>
      </c>
      <c r="D374" s="2">
        <f t="shared" si="27"/>
        <v>-9.0637395092962956E-3</v>
      </c>
      <c r="E374" s="2">
        <f t="shared" si="29"/>
        <v>-3.4321591186183061E-2</v>
      </c>
      <c r="F374" s="2">
        <f t="shared" si="28"/>
        <v>0.29032218527888509</v>
      </c>
      <c r="G374" s="2">
        <f t="shared" si="25"/>
        <v>0.29032218527888509</v>
      </c>
    </row>
    <row r="375" spans="1:7" x14ac:dyDescent="0.25">
      <c r="A375" s="18">
        <v>7.44</v>
      </c>
      <c r="B375" s="2">
        <v>-5.9300000000000004E-3</v>
      </c>
      <c r="C375" s="2">
        <f t="shared" si="26"/>
        <v>1.1860000000000002</v>
      </c>
      <c r="D375" s="2">
        <f t="shared" si="27"/>
        <v>-1.0214556762042803E-2</v>
      </c>
      <c r="E375" s="2">
        <f t="shared" si="29"/>
        <v>-3.1673653171451571E-2</v>
      </c>
      <c r="F375" s="2">
        <f t="shared" si="28"/>
        <v>0.31236670286128709</v>
      </c>
      <c r="G375" s="2">
        <f t="shared" si="25"/>
        <v>0.31236670286128709</v>
      </c>
    </row>
    <row r="376" spans="1:7" x14ac:dyDescent="0.25">
      <c r="A376" s="18">
        <v>7.46</v>
      </c>
      <c r="B376" s="2">
        <v>6.5500000000000003E-3</v>
      </c>
      <c r="C376" s="2">
        <f t="shared" si="26"/>
        <v>-1.31</v>
      </c>
      <c r="D376" s="2">
        <f t="shared" si="27"/>
        <v>-1.1240427333644797E-2</v>
      </c>
      <c r="E376" s="2">
        <f t="shared" si="29"/>
        <v>-2.8770431318662696E-2</v>
      </c>
      <c r="F376" s="2">
        <f t="shared" si="28"/>
        <v>0.33066282000934322</v>
      </c>
      <c r="G376" s="2">
        <f t="shared" si="25"/>
        <v>0.33066282000934322</v>
      </c>
    </row>
    <row r="377" spans="1:7" x14ac:dyDescent="0.25">
      <c r="A377" s="18">
        <v>7.48</v>
      </c>
      <c r="B377" s="2">
        <v>-2.5190000000000001E-2</v>
      </c>
      <c r="C377" s="2">
        <f t="shared" si="26"/>
        <v>5.0380000000000003</v>
      </c>
      <c r="D377" s="2">
        <f t="shared" si="27"/>
        <v>-1.2134032777243052E-2</v>
      </c>
      <c r="E377" s="2">
        <f t="shared" si="29"/>
        <v>-2.5646764290049827E-2</v>
      </c>
      <c r="F377" s="2">
        <f t="shared" si="28"/>
        <v>0.38921098331729398</v>
      </c>
      <c r="G377" s="2">
        <f t="shared" si="25"/>
        <v>0.38921098331729398</v>
      </c>
    </row>
    <row r="378" spans="1:7" x14ac:dyDescent="0.25">
      <c r="A378" s="18">
        <v>7.5</v>
      </c>
      <c r="B378" s="2">
        <v>-5.6930000000000001E-2</v>
      </c>
      <c r="C378" s="2">
        <f t="shared" si="26"/>
        <v>11.386000000000001</v>
      </c>
      <c r="D378" s="2">
        <f t="shared" si="27"/>
        <v>-1.2871953827514391E-2</v>
      </c>
      <c r="E378" s="2">
        <f t="shared" si="29"/>
        <v>-2.2340136089956393E-2</v>
      </c>
      <c r="F378" s="2">
        <f t="shared" si="28"/>
        <v>0.44308861482543133</v>
      </c>
      <c r="G378" s="2">
        <f t="shared" si="25"/>
        <v>0.44308861482543133</v>
      </c>
    </row>
    <row r="379" spans="1:7" x14ac:dyDescent="0.25">
      <c r="A379" s="18">
        <v>7.52</v>
      </c>
      <c r="B379" s="2">
        <v>-4.045E-2</v>
      </c>
      <c r="C379" s="2">
        <f t="shared" si="26"/>
        <v>8.09</v>
      </c>
      <c r="D379" s="2">
        <f t="shared" si="27"/>
        <v>-1.3432639431855556E-2</v>
      </c>
      <c r="E379" s="2">
        <f t="shared" si="29"/>
        <v>-1.8448026256783455E-2</v>
      </c>
      <c r="F379" s="2">
        <f t="shared" si="28"/>
        <v>0.44342918295567357</v>
      </c>
      <c r="G379" s="2">
        <f t="shared" si="25"/>
        <v>0.44342918295567357</v>
      </c>
    </row>
    <row r="380" spans="1:7" x14ac:dyDescent="0.25">
      <c r="A380" s="18">
        <v>7.54</v>
      </c>
      <c r="B380" s="2">
        <v>-2.3980000000000001E-2</v>
      </c>
      <c r="C380" s="2">
        <f t="shared" si="26"/>
        <v>4.7960000000000003</v>
      </c>
      <c r="D380" s="2">
        <f t="shared" si="27"/>
        <v>-1.3815953363014452E-2</v>
      </c>
      <c r="E380" s="2">
        <f t="shared" si="29"/>
        <v>-1.4017140108529141E-2</v>
      </c>
      <c r="F380" s="2">
        <f t="shared" si="28"/>
        <v>0.43845860089043642</v>
      </c>
      <c r="G380" s="2">
        <f t="shared" si="25"/>
        <v>0.43845860089043642</v>
      </c>
    </row>
    <row r="381" spans="1:7" x14ac:dyDescent="0.25">
      <c r="A381" s="18">
        <v>7.56</v>
      </c>
      <c r="B381" s="2">
        <v>-7.4999999999999997E-3</v>
      </c>
      <c r="C381" s="2">
        <f t="shared" si="26"/>
        <v>1.5</v>
      </c>
      <c r="D381" s="2">
        <f t="shared" si="27"/>
        <v>-1.4023883853817174E-2</v>
      </c>
      <c r="E381" s="2">
        <f t="shared" si="29"/>
        <v>-9.5828482789724057E-3</v>
      </c>
      <c r="F381" s="2">
        <f t="shared" si="28"/>
        <v>0.42821651561451668</v>
      </c>
      <c r="G381" s="2">
        <f t="shared" si="25"/>
        <v>0.42821651561451668</v>
      </c>
    </row>
    <row r="382" spans="1:7" x14ac:dyDescent="0.25">
      <c r="A382" s="18">
        <v>7.58</v>
      </c>
      <c r="B382" s="2">
        <v>8.9700000000000005E-3</v>
      </c>
      <c r="C382" s="2">
        <f t="shared" si="26"/>
        <v>-1.794</v>
      </c>
      <c r="D382" s="2">
        <f t="shared" si="27"/>
        <v>-1.4060527738374089E-2</v>
      </c>
      <c r="E382" s="2">
        <f t="shared" si="29"/>
        <v>-5.1982622700680412E-3</v>
      </c>
      <c r="F382" s="2">
        <f t="shared" si="28"/>
        <v>0.41284583215122833</v>
      </c>
      <c r="G382" s="2">
        <f t="shared" si="25"/>
        <v>0.41284583215122833</v>
      </c>
    </row>
    <row r="383" spans="1:7" x14ac:dyDescent="0.25">
      <c r="A383" s="18">
        <v>7.6</v>
      </c>
      <c r="B383" s="2">
        <v>3.8400000000000001E-3</v>
      </c>
      <c r="C383" s="2">
        <f t="shared" si="26"/>
        <v>-0.76800000000000002</v>
      </c>
      <c r="D383" s="2">
        <f t="shared" si="27"/>
        <v>-1.3932033290070513E-2</v>
      </c>
      <c r="E383" s="2">
        <f t="shared" si="29"/>
        <v>-9.16097113922874E-4</v>
      </c>
      <c r="F383" s="2">
        <f t="shared" si="28"/>
        <v>0.41412099870210844</v>
      </c>
      <c r="G383" s="2">
        <f t="shared" si="25"/>
        <v>0.41412099870210844</v>
      </c>
    </row>
    <row r="384" spans="1:7" x14ac:dyDescent="0.25">
      <c r="A384" s="18">
        <v>7.62</v>
      </c>
      <c r="B384" s="2">
        <v>-1.2899999999999999E-3</v>
      </c>
      <c r="C384" s="2">
        <f t="shared" si="26"/>
        <v>0.25800000000000001</v>
      </c>
      <c r="D384" s="2">
        <f t="shared" si="27"/>
        <v>-1.3637890442286093E-2</v>
      </c>
      <c r="E384" s="2">
        <f t="shared" si="29"/>
        <v>3.2123612075894096E-3</v>
      </c>
      <c r="F384" s="2">
        <f t="shared" si="28"/>
        <v>0.41042671326858066</v>
      </c>
      <c r="G384" s="2">
        <f t="shared" si="25"/>
        <v>0.41042671326858066</v>
      </c>
    </row>
    <row r="385" spans="1:7" x14ac:dyDescent="0.25">
      <c r="A385" s="18">
        <v>7.64</v>
      </c>
      <c r="B385" s="2">
        <v>-6.4200000000000004E-3</v>
      </c>
      <c r="C385" s="2">
        <f t="shared" si="26"/>
        <v>1.284</v>
      </c>
      <c r="D385" s="2">
        <f t="shared" si="27"/>
        <v>-1.3179576909194241E-2</v>
      </c>
      <c r="E385" s="2">
        <f t="shared" si="29"/>
        <v>7.3535711946104941E-3</v>
      </c>
      <c r="F385" s="2">
        <f t="shared" si="28"/>
        <v>0.40180730727582509</v>
      </c>
      <c r="G385" s="2">
        <f t="shared" si="25"/>
        <v>0.40180730727582509</v>
      </c>
    </row>
    <row r="386" spans="1:7" x14ac:dyDescent="0.25">
      <c r="A386" s="18">
        <v>7.66</v>
      </c>
      <c r="B386" s="2">
        <v>-1.1560000000000001E-2</v>
      </c>
      <c r="C386" s="2">
        <f t="shared" si="26"/>
        <v>2.3120000000000003</v>
      </c>
      <c r="D386" s="2">
        <f t="shared" si="27"/>
        <v>-1.2560540453192059E-2</v>
      </c>
      <c r="E386" s="2">
        <f t="shared" si="29"/>
        <v>1.1457838327296301E-2</v>
      </c>
      <c r="F386" s="2">
        <f t="shared" si="28"/>
        <v>0.38837621359576102</v>
      </c>
      <c r="G386" s="2">
        <f t="shared" ref="G386:G449" si="30">HLOOKUP($Y$3,$B$1:$F$1562,ROW(),0)</f>
        <v>0.38837621359576102</v>
      </c>
    </row>
    <row r="387" spans="1:7" x14ac:dyDescent="0.25">
      <c r="A387" s="18">
        <v>7.68</v>
      </c>
      <c r="B387" s="2">
        <v>-2.6190000000000001E-2</v>
      </c>
      <c r="C387" s="2">
        <f t="shared" ref="C387:C450" si="31">-$M$4*B387</f>
        <v>5.2380000000000004</v>
      </c>
      <c r="D387" s="2">
        <f t="shared" si="27"/>
        <v>-1.1786153511751572E-2</v>
      </c>
      <c r="E387" s="2">
        <f t="shared" si="29"/>
        <v>1.5475911400054552E-2</v>
      </c>
      <c r="F387" s="2">
        <f t="shared" si="28"/>
        <v>0.37977460535254265</v>
      </c>
      <c r="G387" s="2">
        <f t="shared" si="30"/>
        <v>0.37977460535254265</v>
      </c>
    </row>
    <row r="388" spans="1:7" x14ac:dyDescent="0.25">
      <c r="A388" s="18">
        <v>7.7</v>
      </c>
      <c r="B388" s="2">
        <v>-4.0820000000000002E-2</v>
      </c>
      <c r="C388" s="2">
        <f t="shared" si="31"/>
        <v>8.1639999999999997</v>
      </c>
      <c r="D388" s="2">
        <f t="shared" ref="D388:D451" si="32">(C387-($Q$6*D387)-($Q$7*D386))/$Q$5</f>
        <v>-1.0859856728170069E-2</v>
      </c>
      <c r="E388" s="2">
        <f t="shared" si="29"/>
        <v>1.9359673536012163E-2</v>
      </c>
      <c r="F388" s="2">
        <f t="shared" ref="F388:F451" si="33">(D387-2*D388+D389)/($A$4^2)</f>
        <v>0.36661570184510178</v>
      </c>
      <c r="G388" s="2">
        <f t="shared" si="30"/>
        <v>0.36661570184510178</v>
      </c>
    </row>
    <row r="389" spans="1:7" x14ac:dyDescent="0.25">
      <c r="A389" s="18">
        <v>7.72</v>
      </c>
      <c r="B389" s="2">
        <v>-5.5449999999999999E-2</v>
      </c>
      <c r="C389" s="2">
        <f t="shared" si="31"/>
        <v>11.09</v>
      </c>
      <c r="D389" s="2">
        <f t="shared" si="32"/>
        <v>-9.7869136638505244E-3</v>
      </c>
      <c r="E389" s="2">
        <f t="shared" ref="E389:E452" si="34">(D388-D387)/(2*$A$4)</f>
        <v>2.3157419589537587E-2</v>
      </c>
      <c r="F389" s="2">
        <f t="shared" si="33"/>
        <v>0.34905740991551543</v>
      </c>
      <c r="G389" s="2">
        <f t="shared" si="30"/>
        <v>0.34905740991551543</v>
      </c>
    </row>
    <row r="390" spans="1:7" x14ac:dyDescent="0.25">
      <c r="A390" s="18">
        <v>7.74</v>
      </c>
      <c r="B390" s="2">
        <v>-4.3659999999999997E-2</v>
      </c>
      <c r="C390" s="2">
        <f t="shared" si="31"/>
        <v>8.7319999999999993</v>
      </c>
      <c r="D390" s="2">
        <f t="shared" si="32"/>
        <v>-8.5743476355647739E-3</v>
      </c>
      <c r="E390" s="2">
        <f t="shared" si="34"/>
        <v>2.6823576607988606E-2</v>
      </c>
      <c r="F390" s="2">
        <f t="shared" si="33"/>
        <v>0.30089042906694541</v>
      </c>
      <c r="G390" s="2">
        <f t="shared" si="30"/>
        <v>0.30089042906694541</v>
      </c>
    </row>
    <row r="391" spans="1:7" x14ac:dyDescent="0.25">
      <c r="A391" s="18">
        <v>7.76</v>
      </c>
      <c r="B391" s="2">
        <v>-3.1879999999999999E-2</v>
      </c>
      <c r="C391" s="2">
        <f t="shared" si="31"/>
        <v>6.3759999999999994</v>
      </c>
      <c r="D391" s="2">
        <f t="shared" si="32"/>
        <v>-7.2414254356522453E-3</v>
      </c>
      <c r="E391" s="2">
        <f t="shared" si="34"/>
        <v>3.0314150707143762E-2</v>
      </c>
      <c r="F391" s="2">
        <f t="shared" si="33"/>
        <v>0.24912276306956896</v>
      </c>
      <c r="G391" s="2">
        <f t="shared" si="30"/>
        <v>0.24912276306956896</v>
      </c>
    </row>
    <row r="392" spans="1:7" x14ac:dyDescent="0.25">
      <c r="A392" s="18">
        <v>7.78</v>
      </c>
      <c r="B392" s="2">
        <v>-6.9639999999999994E-2</v>
      </c>
      <c r="C392" s="2">
        <f t="shared" si="31"/>
        <v>13.927999999999999</v>
      </c>
      <c r="D392" s="2">
        <f t="shared" si="32"/>
        <v>-5.8088541305118891E-3</v>
      </c>
      <c r="E392" s="2">
        <f t="shared" si="34"/>
        <v>3.3323054997813219E-2</v>
      </c>
      <c r="F392" s="2">
        <f t="shared" si="33"/>
        <v>0.24390562391535686</v>
      </c>
      <c r="G392" s="2">
        <f t="shared" si="30"/>
        <v>0.24390562391535686</v>
      </c>
    </row>
    <row r="393" spans="1:7" x14ac:dyDescent="0.25">
      <c r="A393" s="18">
        <v>7.8</v>
      </c>
      <c r="B393" s="2">
        <v>-5.6340000000000001E-2</v>
      </c>
      <c r="C393" s="2">
        <f t="shared" si="31"/>
        <v>11.268000000000001</v>
      </c>
      <c r="D393" s="2">
        <f t="shared" si="32"/>
        <v>-4.2787205758053901E-3</v>
      </c>
      <c r="E393" s="2">
        <f t="shared" si="34"/>
        <v>3.5814282628508907E-2</v>
      </c>
      <c r="F393" s="2">
        <f t="shared" si="33"/>
        <v>0.18470161727415996</v>
      </c>
      <c r="G393" s="2">
        <f t="shared" si="30"/>
        <v>0.18470161727415996</v>
      </c>
    </row>
    <row r="394" spans="1:7" x14ac:dyDescent="0.25">
      <c r="A394" s="18">
        <v>7.82</v>
      </c>
      <c r="B394" s="2">
        <v>-4.3029999999999999E-2</v>
      </c>
      <c r="C394" s="2">
        <f t="shared" si="31"/>
        <v>8.6059999999999999</v>
      </c>
      <c r="D394" s="2">
        <f t="shared" si="32"/>
        <v>-2.6747063741892271E-3</v>
      </c>
      <c r="E394" s="2">
        <f t="shared" si="34"/>
        <v>3.8253338867662474E-2</v>
      </c>
      <c r="F394" s="2">
        <f t="shared" si="33"/>
        <v>0.12327119122567785</v>
      </c>
      <c r="G394" s="2">
        <f t="shared" si="30"/>
        <v>0.12327119122567785</v>
      </c>
    </row>
    <row r="395" spans="1:7" x14ac:dyDescent="0.25">
      <c r="A395" s="18">
        <v>7.84</v>
      </c>
      <c r="B395" s="2">
        <v>-2.972E-2</v>
      </c>
      <c r="C395" s="2">
        <f t="shared" si="31"/>
        <v>5.944</v>
      </c>
      <c r="D395" s="2">
        <f t="shared" si="32"/>
        <v>-1.021383696082793E-3</v>
      </c>
      <c r="E395" s="2">
        <f t="shared" si="34"/>
        <v>4.0100355040404073E-2</v>
      </c>
      <c r="F395" s="2">
        <f t="shared" si="33"/>
        <v>6.0361510882483385E-2</v>
      </c>
      <c r="G395" s="2">
        <f t="shared" si="30"/>
        <v>6.0361510882483385E-2</v>
      </c>
    </row>
    <row r="396" spans="1:7" x14ac:dyDescent="0.25">
      <c r="A396" s="18">
        <v>7.86</v>
      </c>
      <c r="B396" s="2">
        <v>-1.6420000000000001E-2</v>
      </c>
      <c r="C396" s="2">
        <f t="shared" si="31"/>
        <v>3.2840000000000003</v>
      </c>
      <c r="D396" s="2">
        <f t="shared" si="32"/>
        <v>6.5608358637663444E-4</v>
      </c>
      <c r="E396" s="2">
        <f t="shared" si="34"/>
        <v>4.1333066952660855E-2</v>
      </c>
      <c r="F396" s="2">
        <f t="shared" si="33"/>
        <v>-3.2625075912996911E-3</v>
      </c>
      <c r="G396" s="2">
        <f t="shared" si="30"/>
        <v>-3.2625075912996911E-3</v>
      </c>
    </row>
    <row r="397" spans="1:7" x14ac:dyDescent="0.25">
      <c r="A397" s="18">
        <v>7.88</v>
      </c>
      <c r="B397" s="2">
        <v>-3.1099999999999999E-3</v>
      </c>
      <c r="C397" s="2">
        <f t="shared" si="31"/>
        <v>0.622</v>
      </c>
      <c r="D397" s="2">
        <f t="shared" si="32"/>
        <v>2.332245865799542E-3</v>
      </c>
      <c r="E397" s="2">
        <f t="shared" si="34"/>
        <v>4.1936682061485688E-2</v>
      </c>
      <c r="F397" s="2">
        <f t="shared" si="33"/>
        <v>-6.6857375973985042E-2</v>
      </c>
      <c r="G397" s="2">
        <f t="shared" si="30"/>
        <v>-6.6857375973985042E-2</v>
      </c>
    </row>
    <row r="398" spans="1:7" x14ac:dyDescent="0.25">
      <c r="A398" s="18">
        <v>7.9</v>
      </c>
      <c r="B398" s="2">
        <v>1.0200000000000001E-2</v>
      </c>
      <c r="C398" s="2">
        <f t="shared" si="31"/>
        <v>-2.04</v>
      </c>
      <c r="D398" s="2">
        <f t="shared" si="32"/>
        <v>3.9816651948328553E-3</v>
      </c>
      <c r="E398" s="2">
        <f t="shared" si="34"/>
        <v>4.1904056985572688E-2</v>
      </c>
      <c r="F398" s="2">
        <f t="shared" si="33"/>
        <v>-0.12964995584498815</v>
      </c>
      <c r="G398" s="2">
        <f t="shared" si="30"/>
        <v>-0.12964995584498815</v>
      </c>
    </row>
    <row r="399" spans="1:7" x14ac:dyDescent="0.25">
      <c r="A399" s="18">
        <v>7.92</v>
      </c>
      <c r="B399" s="2">
        <v>2.35E-2</v>
      </c>
      <c r="C399" s="2">
        <f t="shared" si="31"/>
        <v>-4.7</v>
      </c>
      <c r="D399" s="2">
        <f t="shared" si="32"/>
        <v>5.5792245415281737E-3</v>
      </c>
      <c r="E399" s="2">
        <f t="shared" si="34"/>
        <v>4.1235483225832828E-2</v>
      </c>
      <c r="F399" s="2">
        <f t="shared" si="33"/>
        <v>-0.19087673624584378</v>
      </c>
      <c r="G399" s="2">
        <f t="shared" si="30"/>
        <v>-0.19087673624584378</v>
      </c>
    </row>
    <row r="400" spans="1:7" x14ac:dyDescent="0.25">
      <c r="A400" s="18">
        <v>7.94</v>
      </c>
      <c r="B400" s="2">
        <v>3.6810000000000002E-2</v>
      </c>
      <c r="C400" s="2">
        <f t="shared" si="31"/>
        <v>-7.3620000000000001</v>
      </c>
      <c r="D400" s="2">
        <f t="shared" si="32"/>
        <v>7.1004331937251546E-3</v>
      </c>
      <c r="E400" s="2">
        <f t="shared" si="34"/>
        <v>3.9938983667382959E-2</v>
      </c>
      <c r="F400" s="2">
        <f t="shared" si="33"/>
        <v>-0.24982299581175621</v>
      </c>
      <c r="G400" s="2">
        <f t="shared" si="30"/>
        <v>-0.24982299581175621</v>
      </c>
    </row>
    <row r="401" spans="1:7" x14ac:dyDescent="0.25">
      <c r="A401" s="18">
        <v>7.96</v>
      </c>
      <c r="B401" s="2">
        <v>5.0110000000000002E-2</v>
      </c>
      <c r="C401" s="2">
        <f t="shared" si="31"/>
        <v>-10.022</v>
      </c>
      <c r="D401" s="2">
        <f t="shared" si="32"/>
        <v>8.521712647597433E-3</v>
      </c>
      <c r="E401" s="2">
        <f t="shared" si="34"/>
        <v>3.8030216304924522E-2</v>
      </c>
      <c r="F401" s="2">
        <f t="shared" si="33"/>
        <v>-0.30576137942792642</v>
      </c>
      <c r="G401" s="2">
        <f t="shared" si="30"/>
        <v>-0.30576137942792642</v>
      </c>
    </row>
    <row r="402" spans="1:7" x14ac:dyDescent="0.25">
      <c r="A402" s="18">
        <v>7.98</v>
      </c>
      <c r="B402" s="2">
        <v>2.436E-2</v>
      </c>
      <c r="C402" s="2">
        <f t="shared" si="31"/>
        <v>-4.8719999999999999</v>
      </c>
      <c r="D402" s="2">
        <f t="shared" si="32"/>
        <v>9.8206875496985417E-3</v>
      </c>
      <c r="E402" s="2">
        <f t="shared" si="34"/>
        <v>3.553198634680696E-2</v>
      </c>
      <c r="F402" s="2">
        <f t="shared" si="33"/>
        <v>-0.31898062649094933</v>
      </c>
      <c r="G402" s="2">
        <f t="shared" si="30"/>
        <v>-0.31898062649094933</v>
      </c>
    </row>
    <row r="403" spans="1:7" x14ac:dyDescent="0.25">
      <c r="A403" s="18">
        <v>8</v>
      </c>
      <c r="B403" s="2">
        <v>-1.39E-3</v>
      </c>
      <c r="C403" s="2">
        <f t="shared" si="31"/>
        <v>0.27799999999999997</v>
      </c>
      <c r="D403" s="2">
        <f t="shared" si="32"/>
        <v>1.0992070201203271E-2</v>
      </c>
      <c r="E403" s="2">
        <f t="shared" si="34"/>
        <v>3.2474372552527719E-2</v>
      </c>
      <c r="F403" s="2">
        <f t="shared" si="33"/>
        <v>-0.32837210603609174</v>
      </c>
      <c r="G403" s="2">
        <f t="shared" si="30"/>
        <v>-0.32837210603609174</v>
      </c>
    </row>
    <row r="404" spans="1:7" x14ac:dyDescent="0.25">
      <c r="A404" s="18">
        <v>8.02</v>
      </c>
      <c r="B404" s="2">
        <v>-2.7140000000000001E-2</v>
      </c>
      <c r="C404" s="2">
        <f t="shared" si="31"/>
        <v>5.4279999999999999</v>
      </c>
      <c r="D404" s="2">
        <f t="shared" si="32"/>
        <v>1.2032104010293563E-2</v>
      </c>
      <c r="E404" s="2">
        <f t="shared" si="34"/>
        <v>2.9284566287618222E-2</v>
      </c>
      <c r="F404" s="2">
        <f t="shared" si="33"/>
        <v>-0.33382312030880934</v>
      </c>
      <c r="G404" s="2">
        <f t="shared" si="30"/>
        <v>-0.33382312030880934</v>
      </c>
    </row>
    <row r="405" spans="1:7" x14ac:dyDescent="0.25">
      <c r="A405" s="18">
        <v>8.0399999999999991</v>
      </c>
      <c r="B405" s="2">
        <v>-3.0899999999999999E-3</v>
      </c>
      <c r="C405" s="2">
        <f t="shared" si="31"/>
        <v>0.61799999999999999</v>
      </c>
      <c r="D405" s="2">
        <f t="shared" si="32"/>
        <v>1.2938608571260331E-2</v>
      </c>
      <c r="E405" s="2">
        <f t="shared" si="34"/>
        <v>2.6000845227257305E-2</v>
      </c>
      <c r="F405" s="2">
        <f t="shared" si="33"/>
        <v>-0.38506825713780118</v>
      </c>
      <c r="G405" s="2">
        <f t="shared" si="30"/>
        <v>-0.38506825713780118</v>
      </c>
    </row>
    <row r="406" spans="1:7" x14ac:dyDescent="0.25">
      <c r="A406" s="18">
        <v>8.06</v>
      </c>
      <c r="B406" s="2">
        <v>2.0959999999999999E-2</v>
      </c>
      <c r="C406" s="2">
        <f t="shared" si="31"/>
        <v>-4.1920000000000002</v>
      </c>
      <c r="D406" s="2">
        <f t="shared" si="32"/>
        <v>1.3691085829371979E-2</v>
      </c>
      <c r="E406" s="2">
        <f t="shared" si="34"/>
        <v>2.2662614024169213E-2</v>
      </c>
      <c r="F406" s="2">
        <f t="shared" si="33"/>
        <v>-0.43169257488115481</v>
      </c>
      <c r="G406" s="2">
        <f t="shared" si="30"/>
        <v>-0.43169257488115481</v>
      </c>
    </row>
    <row r="407" spans="1:7" x14ac:dyDescent="0.25">
      <c r="A407" s="18">
        <v>8.08</v>
      </c>
      <c r="B407" s="2">
        <v>4.5010000000000001E-2</v>
      </c>
      <c r="C407" s="2">
        <f t="shared" si="31"/>
        <v>-9.0020000000000007</v>
      </c>
      <c r="D407" s="2">
        <f t="shared" si="32"/>
        <v>1.4270886057531166E-2</v>
      </c>
      <c r="E407" s="2">
        <f t="shared" si="34"/>
        <v>1.8811931452791201E-2</v>
      </c>
      <c r="F407" s="2">
        <f t="shared" si="33"/>
        <v>-0.47313658172593465</v>
      </c>
      <c r="G407" s="2">
        <f t="shared" si="30"/>
        <v>-0.47313658172593465</v>
      </c>
    </row>
    <row r="408" spans="1:7" x14ac:dyDescent="0.25">
      <c r="A408" s="18">
        <v>8.1</v>
      </c>
      <c r="B408" s="2">
        <v>6.9059999999999996E-2</v>
      </c>
      <c r="C408" s="2">
        <f t="shared" si="31"/>
        <v>-13.811999999999999</v>
      </c>
      <c r="D408" s="2">
        <f t="shared" si="32"/>
        <v>1.4661431652999978E-2</v>
      </c>
      <c r="E408" s="2">
        <f t="shared" si="34"/>
        <v>1.4495005703979652E-2</v>
      </c>
      <c r="F408" s="2">
        <f t="shared" si="33"/>
        <v>-0.50890294959000415</v>
      </c>
      <c r="G408" s="2">
        <f t="shared" si="30"/>
        <v>-0.50890294959000415</v>
      </c>
    </row>
    <row r="409" spans="1:7" x14ac:dyDescent="0.25">
      <c r="A409" s="18">
        <v>8.1199999999999992</v>
      </c>
      <c r="B409" s="2">
        <v>5.7729999999999997E-2</v>
      </c>
      <c r="C409" s="2">
        <f t="shared" si="31"/>
        <v>-11.545999999999999</v>
      </c>
      <c r="D409" s="2">
        <f t="shared" si="32"/>
        <v>1.4848416068632788E-2</v>
      </c>
      <c r="E409" s="2">
        <f t="shared" si="34"/>
        <v>9.7636398867203059E-3</v>
      </c>
      <c r="F409" s="2">
        <f t="shared" si="33"/>
        <v>-0.50318248205898253</v>
      </c>
      <c r="G409" s="2">
        <f t="shared" si="30"/>
        <v>-0.50318248205898253</v>
      </c>
    </row>
    <row r="410" spans="1:7" x14ac:dyDescent="0.25">
      <c r="A410" s="18">
        <v>8.14</v>
      </c>
      <c r="B410" s="2">
        <v>4.6399999999999997E-2</v>
      </c>
      <c r="C410" s="2">
        <f t="shared" si="31"/>
        <v>-9.2799999999999994</v>
      </c>
      <c r="D410" s="2">
        <f t="shared" si="32"/>
        <v>1.4834127491442006E-2</v>
      </c>
      <c r="E410" s="2">
        <f t="shared" si="34"/>
        <v>4.6746103908202642E-3</v>
      </c>
      <c r="F410" s="2">
        <f t="shared" si="33"/>
        <v>-0.49142382474326796</v>
      </c>
      <c r="G410" s="2">
        <f t="shared" si="30"/>
        <v>-0.49142382474326796</v>
      </c>
    </row>
    <row r="411" spans="1:7" x14ac:dyDescent="0.25">
      <c r="A411" s="18">
        <v>8.16</v>
      </c>
      <c r="B411" s="2">
        <v>3.5069999999999997E-2</v>
      </c>
      <c r="C411" s="2">
        <f t="shared" si="31"/>
        <v>-7.0139999999999993</v>
      </c>
      <c r="D411" s="2">
        <f t="shared" si="32"/>
        <v>1.4623269384353916E-2</v>
      </c>
      <c r="E411" s="2">
        <f t="shared" si="34"/>
        <v>-3.5721442976956175E-4</v>
      </c>
      <c r="F411" s="2">
        <f t="shared" si="33"/>
        <v>-0.47376808153061845</v>
      </c>
      <c r="G411" s="2">
        <f t="shared" si="30"/>
        <v>-0.47376808153061845</v>
      </c>
    </row>
    <row r="412" spans="1:7" x14ac:dyDescent="0.25">
      <c r="A412" s="18">
        <v>8.18</v>
      </c>
      <c r="B412" s="2">
        <v>3.3570000000000003E-2</v>
      </c>
      <c r="C412" s="2">
        <f t="shared" si="31"/>
        <v>-6.7140000000000004</v>
      </c>
      <c r="D412" s="2">
        <f t="shared" si="32"/>
        <v>1.4222904044653579E-2</v>
      </c>
      <c r="E412" s="2">
        <f t="shared" si="34"/>
        <v>-5.2714526772022416E-3</v>
      </c>
      <c r="F412" s="2">
        <f t="shared" si="33"/>
        <v>-0.46025712133960622</v>
      </c>
      <c r="G412" s="2">
        <f t="shared" si="30"/>
        <v>-0.46025712133960622</v>
      </c>
    </row>
    <row r="413" spans="1:7" x14ac:dyDescent="0.25">
      <c r="A413" s="18">
        <v>8.1999999999999993</v>
      </c>
      <c r="B413" s="2">
        <v>3.2070000000000001E-2</v>
      </c>
      <c r="C413" s="2">
        <f t="shared" si="31"/>
        <v>-6.4140000000000006</v>
      </c>
      <c r="D413" s="2">
        <f t="shared" si="32"/>
        <v>1.36384358564174E-2</v>
      </c>
      <c r="E413" s="2">
        <f t="shared" si="34"/>
        <v>-1.0009133492508426E-2</v>
      </c>
      <c r="F413" s="2">
        <f t="shared" si="33"/>
        <v>-0.44122307569252356</v>
      </c>
      <c r="G413" s="2">
        <f t="shared" si="30"/>
        <v>-0.44122307569252356</v>
      </c>
    </row>
    <row r="414" spans="1:7" x14ac:dyDescent="0.25">
      <c r="A414" s="18">
        <v>8.2200000000000006</v>
      </c>
      <c r="B414" s="2">
        <v>3.057E-2</v>
      </c>
      <c r="C414" s="2">
        <f t="shared" si="31"/>
        <v>-6.1139999999999999</v>
      </c>
      <c r="D414" s="2">
        <f t="shared" si="32"/>
        <v>1.2877478437904211E-2</v>
      </c>
      <c r="E414" s="2">
        <f t="shared" si="34"/>
        <v>-1.4611704705904489E-2</v>
      </c>
      <c r="F414" s="2">
        <f t="shared" si="33"/>
        <v>-0.41689435313712292</v>
      </c>
      <c r="G414" s="2">
        <f t="shared" si="30"/>
        <v>-0.41689435313712292</v>
      </c>
    </row>
    <row r="415" spans="1:7" x14ac:dyDescent="0.25">
      <c r="A415" s="18">
        <v>8.24</v>
      </c>
      <c r="B415" s="2">
        <v>3.2500000000000001E-2</v>
      </c>
      <c r="C415" s="2">
        <f t="shared" si="31"/>
        <v>-6.5</v>
      </c>
      <c r="D415" s="2">
        <f t="shared" si="32"/>
        <v>1.1949763278136172E-2</v>
      </c>
      <c r="E415" s="2">
        <f t="shared" si="34"/>
        <v>-1.9023935462829725E-2</v>
      </c>
      <c r="F415" s="2">
        <f t="shared" si="33"/>
        <v>-0.39099289834408546</v>
      </c>
      <c r="G415" s="2">
        <f t="shared" si="30"/>
        <v>-0.39099289834408546</v>
      </c>
    </row>
    <row r="416" spans="1:7" x14ac:dyDescent="0.25">
      <c r="A416" s="18">
        <v>8.26</v>
      </c>
      <c r="B416" s="2">
        <v>3.4439999999999998E-2</v>
      </c>
      <c r="C416" s="2">
        <f t="shared" si="31"/>
        <v>-6.8879999999999999</v>
      </c>
      <c r="D416" s="2">
        <f t="shared" si="32"/>
        <v>1.08656509590305E-2</v>
      </c>
      <c r="E416" s="2">
        <f t="shared" si="34"/>
        <v>-2.3192878994200954E-2</v>
      </c>
      <c r="F416" s="2">
        <f t="shared" si="33"/>
        <v>-0.3604095287709167</v>
      </c>
      <c r="G416" s="2">
        <f t="shared" si="30"/>
        <v>-0.3604095287709167</v>
      </c>
    </row>
    <row r="417" spans="1:7" x14ac:dyDescent="0.25">
      <c r="A417" s="18">
        <v>8.2799999999999994</v>
      </c>
      <c r="B417" s="2">
        <v>3.637E-2</v>
      </c>
      <c r="C417" s="2">
        <f t="shared" si="31"/>
        <v>-7.274</v>
      </c>
      <c r="D417" s="2">
        <f t="shared" si="32"/>
        <v>9.6373748284164611E-3</v>
      </c>
      <c r="E417" s="2">
        <f t="shared" si="34"/>
        <v>-2.7102807977641807E-2</v>
      </c>
      <c r="F417" s="2">
        <f t="shared" si="33"/>
        <v>-0.32549124485249137</v>
      </c>
      <c r="G417" s="2">
        <f t="shared" si="30"/>
        <v>-0.32549124485249137</v>
      </c>
    </row>
    <row r="418" spans="1:7" x14ac:dyDescent="0.25">
      <c r="A418" s="18">
        <v>8.3000000000000007</v>
      </c>
      <c r="B418" s="2">
        <v>1.3480000000000001E-2</v>
      </c>
      <c r="C418" s="2">
        <f t="shared" si="31"/>
        <v>-2.6960000000000002</v>
      </c>
      <c r="D418" s="2">
        <f t="shared" si="32"/>
        <v>8.2789021998614255E-3</v>
      </c>
      <c r="E418" s="2">
        <f t="shared" si="34"/>
        <v>-3.0706903265350975E-2</v>
      </c>
      <c r="F418" s="2">
        <f t="shared" si="33"/>
        <v>-0.26184706599584023</v>
      </c>
      <c r="G418" s="2">
        <f t="shared" si="30"/>
        <v>-0.26184706599584023</v>
      </c>
    </row>
    <row r="419" spans="1:7" x14ac:dyDescent="0.25">
      <c r="A419" s="18">
        <v>8.32</v>
      </c>
      <c r="B419" s="2">
        <v>-9.4199999999999996E-3</v>
      </c>
      <c r="C419" s="2">
        <f t="shared" si="31"/>
        <v>1.8839999999999999</v>
      </c>
      <c r="D419" s="2">
        <f t="shared" si="32"/>
        <v>6.8156907449080538E-3</v>
      </c>
      <c r="E419" s="2">
        <f t="shared" si="34"/>
        <v>-3.3961815713875888E-2</v>
      </c>
      <c r="F419" s="2">
        <f t="shared" si="33"/>
        <v>-0.19505072234724452</v>
      </c>
      <c r="G419" s="2">
        <f t="shared" si="30"/>
        <v>-0.19505072234724452</v>
      </c>
    </row>
    <row r="420" spans="1:7" x14ac:dyDescent="0.25">
      <c r="A420" s="18">
        <v>8.34</v>
      </c>
      <c r="B420" s="2">
        <v>-3.2309999999999998E-2</v>
      </c>
      <c r="C420" s="2">
        <f t="shared" si="31"/>
        <v>6.4619999999999997</v>
      </c>
      <c r="D420" s="2">
        <f t="shared" si="32"/>
        <v>5.2744590010157842E-3</v>
      </c>
      <c r="E420" s="2">
        <f t="shared" si="34"/>
        <v>-3.6580286373834293E-2</v>
      </c>
      <c r="F420" s="2">
        <f t="shared" si="33"/>
        <v>-0.12592377003047017</v>
      </c>
      <c r="G420" s="2">
        <f t="shared" si="30"/>
        <v>-0.12592377003047017</v>
      </c>
    </row>
    <row r="421" spans="1:7" x14ac:dyDescent="0.25">
      <c r="A421" s="18">
        <v>8.36</v>
      </c>
      <c r="B421" s="2">
        <v>-2.997E-2</v>
      </c>
      <c r="C421" s="2">
        <f t="shared" si="31"/>
        <v>5.9939999999999998</v>
      </c>
      <c r="D421" s="2">
        <f t="shared" si="32"/>
        <v>3.6828577491113267E-3</v>
      </c>
      <c r="E421" s="2">
        <f t="shared" si="34"/>
        <v>-3.8530793597306739E-2</v>
      </c>
      <c r="F421" s="2">
        <f t="shared" si="33"/>
        <v>-8.0515732473339541E-2</v>
      </c>
      <c r="G421" s="2">
        <f t="shared" si="30"/>
        <v>-8.0515732473339541E-2</v>
      </c>
    </row>
    <row r="422" spans="1:7" x14ac:dyDescent="0.25">
      <c r="A422" s="18">
        <v>8.3800000000000008</v>
      </c>
      <c r="B422" s="2">
        <v>-3.0949999999999998E-2</v>
      </c>
      <c r="C422" s="2">
        <f t="shared" si="31"/>
        <v>6.1899999999999995</v>
      </c>
      <c r="D422" s="2">
        <f t="shared" si="32"/>
        <v>2.0590502042175333E-3</v>
      </c>
      <c r="E422" s="2">
        <f t="shared" si="34"/>
        <v>-3.9790031297611439E-2</v>
      </c>
      <c r="F422" s="2">
        <f t="shared" si="33"/>
        <v>-3.0821506126524716E-2</v>
      </c>
      <c r="G422" s="2">
        <f t="shared" si="30"/>
        <v>-3.0821506126524716E-2</v>
      </c>
    </row>
    <row r="423" spans="1:7" x14ac:dyDescent="0.25">
      <c r="A423" s="18">
        <v>8.4</v>
      </c>
      <c r="B423" s="2">
        <v>-3.1919999999999997E-2</v>
      </c>
      <c r="C423" s="2">
        <f t="shared" si="31"/>
        <v>6.3839999999999995</v>
      </c>
      <c r="D423" s="2">
        <f t="shared" si="32"/>
        <v>4.2291405687312999E-4</v>
      </c>
      <c r="E423" s="2">
        <f t="shared" si="34"/>
        <v>-4.0595188622344833E-2</v>
      </c>
      <c r="F423" s="2">
        <f t="shared" si="33"/>
        <v>1.9232578293806497E-2</v>
      </c>
      <c r="G423" s="2">
        <f t="shared" si="30"/>
        <v>1.9232578293806497E-2</v>
      </c>
    </row>
    <row r="424" spans="1:7" x14ac:dyDescent="0.25">
      <c r="A424" s="18">
        <v>8.42</v>
      </c>
      <c r="B424" s="2">
        <v>-2.588E-2</v>
      </c>
      <c r="C424" s="2">
        <f t="shared" si="31"/>
        <v>5.1760000000000002</v>
      </c>
      <c r="D424" s="2">
        <f t="shared" si="32"/>
        <v>-1.2055290591537506E-3</v>
      </c>
      <c r="E424" s="2">
        <f t="shared" si="34"/>
        <v>-4.0903403683610083E-2</v>
      </c>
      <c r="F424" s="2">
        <f t="shared" si="33"/>
        <v>6.2045871774611634E-2</v>
      </c>
      <c r="G424" s="2">
        <f t="shared" si="30"/>
        <v>6.2045871774611634E-2</v>
      </c>
    </row>
    <row r="425" spans="1:7" x14ac:dyDescent="0.25">
      <c r="A425" s="18">
        <v>8.44</v>
      </c>
      <c r="B425" s="2">
        <v>-1.984E-2</v>
      </c>
      <c r="C425" s="2">
        <f t="shared" si="31"/>
        <v>3.968</v>
      </c>
      <c r="D425" s="2">
        <f t="shared" si="32"/>
        <v>-2.8091538264707863E-3</v>
      </c>
      <c r="E425" s="2">
        <f t="shared" si="34"/>
        <v>-4.0711077900672014E-2</v>
      </c>
      <c r="F425" s="2">
        <f t="shared" si="33"/>
        <v>0.10411461479412076</v>
      </c>
      <c r="G425" s="2">
        <f t="shared" si="30"/>
        <v>0.10411461479412076</v>
      </c>
    </row>
    <row r="426" spans="1:7" x14ac:dyDescent="0.25">
      <c r="A426" s="18">
        <v>8.4600000000000009</v>
      </c>
      <c r="B426" s="2">
        <v>-1.379E-2</v>
      </c>
      <c r="C426" s="2">
        <f t="shared" si="31"/>
        <v>2.758</v>
      </c>
      <c r="D426" s="2">
        <f t="shared" si="32"/>
        <v>-4.3711327478701736E-3</v>
      </c>
      <c r="E426" s="2">
        <f t="shared" si="34"/>
        <v>-4.0090619182925891E-2</v>
      </c>
      <c r="F426" s="2">
        <f t="shared" si="33"/>
        <v>0.14492398243610677</v>
      </c>
      <c r="G426" s="2">
        <f t="shared" si="30"/>
        <v>0.14492398243610677</v>
      </c>
    </row>
    <row r="427" spans="1:7" x14ac:dyDescent="0.25">
      <c r="A427" s="18">
        <v>8.48</v>
      </c>
      <c r="B427" s="2">
        <v>-7.7499999999999999E-3</v>
      </c>
      <c r="C427" s="2">
        <f t="shared" si="31"/>
        <v>1.55</v>
      </c>
      <c r="D427" s="2">
        <f t="shared" si="32"/>
        <v>-5.8751420762951185E-3</v>
      </c>
      <c r="E427" s="2">
        <f t="shared" si="34"/>
        <v>-3.9049473034984683E-2</v>
      </c>
      <c r="F427" s="2">
        <f t="shared" si="33"/>
        <v>0.18400426228885317</v>
      </c>
      <c r="G427" s="2">
        <f t="shared" si="30"/>
        <v>0.18400426228885317</v>
      </c>
    </row>
    <row r="428" spans="1:7" x14ac:dyDescent="0.25">
      <c r="A428" s="18">
        <v>8.5</v>
      </c>
      <c r="B428" s="2">
        <v>-1.4489999999999999E-2</v>
      </c>
      <c r="C428" s="2">
        <f t="shared" si="31"/>
        <v>2.8979999999999997</v>
      </c>
      <c r="D428" s="2">
        <f t="shared" si="32"/>
        <v>-7.3055496998045222E-3</v>
      </c>
      <c r="E428" s="2">
        <f t="shared" si="34"/>
        <v>-3.7600233210623626E-2</v>
      </c>
      <c r="F428" s="2">
        <f t="shared" si="33"/>
        <v>0.23365649099413993</v>
      </c>
      <c r="G428" s="2">
        <f t="shared" si="30"/>
        <v>0.23365649099413993</v>
      </c>
    </row>
    <row r="429" spans="1:7" x14ac:dyDescent="0.25">
      <c r="A429" s="18">
        <v>8.52</v>
      </c>
      <c r="B429" s="2">
        <v>-2.1229999999999999E-2</v>
      </c>
      <c r="C429" s="2">
        <f t="shared" si="31"/>
        <v>4.2459999999999996</v>
      </c>
      <c r="D429" s="2">
        <f t="shared" si="32"/>
        <v>-8.6424947269162708E-3</v>
      </c>
      <c r="E429" s="2">
        <f t="shared" si="34"/>
        <v>-3.5760190587735094E-2</v>
      </c>
      <c r="F429" s="2">
        <f t="shared" si="33"/>
        <v>0.2805048418074883</v>
      </c>
      <c r="G429" s="2">
        <f t="shared" si="30"/>
        <v>0.2805048418074883</v>
      </c>
    </row>
    <row r="430" spans="1:7" x14ac:dyDescent="0.25">
      <c r="A430" s="18">
        <v>8.5399999999999991</v>
      </c>
      <c r="B430" s="2">
        <v>1.523E-2</v>
      </c>
      <c r="C430" s="2">
        <f t="shared" si="31"/>
        <v>-3.0460000000000003</v>
      </c>
      <c r="D430" s="2">
        <f t="shared" si="32"/>
        <v>-9.8672378173050249E-3</v>
      </c>
      <c r="E430" s="2">
        <f t="shared" si="34"/>
        <v>-3.3423625677793715E-2</v>
      </c>
      <c r="F430" s="2">
        <f t="shared" si="33"/>
        <v>0.28078713451914689</v>
      </c>
      <c r="G430" s="2">
        <f t="shared" si="30"/>
        <v>0.28078713451914689</v>
      </c>
    </row>
    <row r="431" spans="1:7" x14ac:dyDescent="0.25">
      <c r="A431" s="18">
        <v>8.56</v>
      </c>
      <c r="B431" s="2">
        <v>5.1700000000000003E-2</v>
      </c>
      <c r="C431" s="2">
        <f t="shared" si="31"/>
        <v>-10.34</v>
      </c>
      <c r="D431" s="2">
        <f t="shared" si="32"/>
        <v>-1.097966605388612E-2</v>
      </c>
      <c r="E431" s="2">
        <f t="shared" si="34"/>
        <v>-3.0618577259718852E-2</v>
      </c>
      <c r="F431" s="2">
        <f t="shared" si="33"/>
        <v>0.27768998161657993</v>
      </c>
      <c r="G431" s="2">
        <f t="shared" si="30"/>
        <v>0.27768998161657993</v>
      </c>
    </row>
    <row r="432" spans="1:7" x14ac:dyDescent="0.25">
      <c r="A432" s="18">
        <v>8.58</v>
      </c>
      <c r="B432" s="2">
        <v>8.8160000000000002E-2</v>
      </c>
      <c r="C432" s="2">
        <f t="shared" si="31"/>
        <v>-17.632000000000001</v>
      </c>
      <c r="D432" s="2">
        <f t="shared" si="32"/>
        <v>-1.1981018297820584E-2</v>
      </c>
      <c r="E432" s="2">
        <f t="shared" si="34"/>
        <v>-2.7810705914527382E-2</v>
      </c>
      <c r="F432" s="2">
        <f t="shared" si="33"/>
        <v>0.27127054893461788</v>
      </c>
      <c r="G432" s="2">
        <f t="shared" si="30"/>
        <v>0.27127054893461788</v>
      </c>
    </row>
    <row r="433" spans="1:7" x14ac:dyDescent="0.25">
      <c r="A433" s="18">
        <v>8.6</v>
      </c>
      <c r="B433" s="2">
        <v>0.12463</v>
      </c>
      <c r="C433" s="2">
        <f t="shared" si="31"/>
        <v>-24.926000000000002</v>
      </c>
      <c r="D433" s="2">
        <f t="shared" si="32"/>
        <v>-1.28738623221812E-2</v>
      </c>
      <c r="E433" s="2">
        <f t="shared" si="34"/>
        <v>-2.5033806098361585E-2</v>
      </c>
      <c r="F433" s="2">
        <f t="shared" si="33"/>
        <v>0.26158586966543163</v>
      </c>
      <c r="G433" s="2">
        <f t="shared" si="30"/>
        <v>0.26158586966543163</v>
      </c>
    </row>
    <row r="434" spans="1:7" x14ac:dyDescent="0.25">
      <c r="A434" s="18">
        <v>8.6199999999999992</v>
      </c>
      <c r="B434" s="2">
        <v>0.16109000000000001</v>
      </c>
      <c r="C434" s="2">
        <f t="shared" si="31"/>
        <v>-32.218000000000004</v>
      </c>
      <c r="D434" s="2">
        <f t="shared" si="32"/>
        <v>-1.3662071998675644E-2</v>
      </c>
      <c r="E434" s="2">
        <f t="shared" si="34"/>
        <v>-2.2321100609015404E-2</v>
      </c>
      <c r="F434" s="2">
        <f t="shared" si="33"/>
        <v>0.24877215996026592</v>
      </c>
      <c r="G434" s="2">
        <f t="shared" si="30"/>
        <v>0.24877215996026592</v>
      </c>
    </row>
    <row r="435" spans="1:7" x14ac:dyDescent="0.25">
      <c r="A435" s="18">
        <v>8.64</v>
      </c>
      <c r="B435" s="2">
        <v>0.12987000000000001</v>
      </c>
      <c r="C435" s="2">
        <f t="shared" si="31"/>
        <v>-25.974000000000004</v>
      </c>
      <c r="D435" s="2">
        <f t="shared" si="32"/>
        <v>-1.4350772811185981E-2</v>
      </c>
      <c r="E435" s="2">
        <f t="shared" si="34"/>
        <v>-1.9705241912361088E-2</v>
      </c>
      <c r="F435" s="2">
        <f t="shared" si="33"/>
        <v>0.30065318433557425</v>
      </c>
      <c r="G435" s="2">
        <f t="shared" si="30"/>
        <v>0.30065318433557425</v>
      </c>
    </row>
    <row r="436" spans="1:7" x14ac:dyDescent="0.25">
      <c r="A436" s="18">
        <v>8.66</v>
      </c>
      <c r="B436" s="2">
        <v>9.8640000000000005E-2</v>
      </c>
      <c r="C436" s="2">
        <f t="shared" si="31"/>
        <v>-19.728000000000002</v>
      </c>
      <c r="D436" s="2">
        <f t="shared" si="32"/>
        <v>-1.4919212349962088E-2</v>
      </c>
      <c r="E436" s="2">
        <f t="shared" si="34"/>
        <v>-1.721752031275843E-2</v>
      </c>
      <c r="F436" s="2">
        <f t="shared" si="33"/>
        <v>0.3489363704988705</v>
      </c>
      <c r="G436" s="2">
        <f t="shared" si="30"/>
        <v>0.3489363704988705</v>
      </c>
    </row>
    <row r="437" spans="1:7" x14ac:dyDescent="0.25">
      <c r="A437" s="18">
        <v>8.68</v>
      </c>
      <c r="B437" s="2">
        <v>6.7409999999999998E-2</v>
      </c>
      <c r="C437" s="2">
        <f t="shared" si="31"/>
        <v>-13.481999999999999</v>
      </c>
      <c r="D437" s="2">
        <f t="shared" si="32"/>
        <v>-1.5348077340538648E-2</v>
      </c>
      <c r="E437" s="2">
        <f t="shared" si="34"/>
        <v>-1.4210988469402688E-2</v>
      </c>
      <c r="F437" s="2">
        <f t="shared" si="33"/>
        <v>0.39303232021615975</v>
      </c>
      <c r="G437" s="2">
        <f t="shared" si="30"/>
        <v>0.39303232021615975</v>
      </c>
    </row>
    <row r="438" spans="1:7" x14ac:dyDescent="0.25">
      <c r="A438" s="18">
        <v>8.6999999999999993</v>
      </c>
      <c r="B438" s="2">
        <v>3.6179999999999997E-2</v>
      </c>
      <c r="C438" s="2">
        <f t="shared" si="31"/>
        <v>-7.2359999999999998</v>
      </c>
      <c r="D438" s="2">
        <f t="shared" si="32"/>
        <v>-1.5619729403028743E-2</v>
      </c>
      <c r="E438" s="2">
        <f t="shared" si="34"/>
        <v>-1.0721624764413983E-2</v>
      </c>
      <c r="F438" s="2">
        <f t="shared" si="33"/>
        <v>0.43241188209085751</v>
      </c>
      <c r="G438" s="2">
        <f t="shared" si="30"/>
        <v>0.43241188209085751</v>
      </c>
    </row>
    <row r="439" spans="1:7" x14ac:dyDescent="0.25">
      <c r="A439" s="18">
        <v>8.7200000000000006</v>
      </c>
      <c r="B439" s="2">
        <v>4.9500000000000004E-3</v>
      </c>
      <c r="C439" s="2">
        <f t="shared" si="31"/>
        <v>-0.9900000000000001</v>
      </c>
      <c r="D439" s="2">
        <f t="shared" si="32"/>
        <v>-1.5718416712682495E-2</v>
      </c>
      <c r="E439" s="2">
        <f t="shared" si="34"/>
        <v>-6.7913015622523849E-3</v>
      </c>
      <c r="F439" s="2">
        <f t="shared" si="33"/>
        <v>0.46660250138047876</v>
      </c>
      <c r="G439" s="2">
        <f t="shared" si="30"/>
        <v>0.46660250138047876</v>
      </c>
    </row>
    <row r="440" spans="1:7" x14ac:dyDescent="0.25">
      <c r="A440" s="18">
        <v>8.74</v>
      </c>
      <c r="B440" s="2">
        <v>4.1999999999999997E-3</v>
      </c>
      <c r="C440" s="2">
        <f t="shared" si="31"/>
        <v>-0.84</v>
      </c>
      <c r="D440" s="2">
        <f t="shared" si="32"/>
        <v>-1.5630463021784058E-2</v>
      </c>
      <c r="E440" s="2">
        <f t="shared" si="34"/>
        <v>-2.4671827413438093E-3</v>
      </c>
      <c r="F440" s="2">
        <f t="shared" si="33"/>
        <v>0.46471389065351731</v>
      </c>
      <c r="G440" s="2">
        <f t="shared" si="30"/>
        <v>0.46471389065351731</v>
      </c>
    </row>
    <row r="441" spans="1:7" x14ac:dyDescent="0.25">
      <c r="A441" s="18">
        <v>8.76</v>
      </c>
      <c r="B441" s="2">
        <v>3.4499999999999999E-3</v>
      </c>
      <c r="C441" s="2">
        <f t="shared" si="31"/>
        <v>-0.69</v>
      </c>
      <c r="D441" s="2">
        <f t="shared" si="32"/>
        <v>-1.5356623774624214E-2</v>
      </c>
      <c r="E441" s="2">
        <f t="shared" si="34"/>
        <v>2.1988422724609352E-3</v>
      </c>
      <c r="F441" s="2">
        <f t="shared" si="33"/>
        <v>0.45724871323872451</v>
      </c>
      <c r="G441" s="2">
        <f t="shared" si="30"/>
        <v>0.45724871323872451</v>
      </c>
    </row>
    <row r="442" spans="1:7" x14ac:dyDescent="0.25">
      <c r="A442" s="18">
        <v>8.7799999999999994</v>
      </c>
      <c r="B442" s="2">
        <v>2.6900000000000001E-3</v>
      </c>
      <c r="C442" s="2">
        <f t="shared" si="31"/>
        <v>-0.53800000000000003</v>
      </c>
      <c r="D442" s="2">
        <f t="shared" si="32"/>
        <v>-1.4899885042168879E-2</v>
      </c>
      <c r="E442" s="2">
        <f t="shared" si="34"/>
        <v>6.8459811789961088E-3</v>
      </c>
      <c r="F442" s="2">
        <f t="shared" si="33"/>
        <v>0.4443065512650668</v>
      </c>
      <c r="G442" s="2">
        <f t="shared" si="30"/>
        <v>0.4443065512650668</v>
      </c>
    </row>
    <row r="443" spans="1:7" x14ac:dyDescent="0.25">
      <c r="A443" s="18">
        <v>8.8000000000000007</v>
      </c>
      <c r="B443" s="2">
        <v>-5.9220000000000002E-2</v>
      </c>
      <c r="C443" s="2">
        <f t="shared" si="31"/>
        <v>11.844000000000001</v>
      </c>
      <c r="D443" s="2">
        <f t="shared" si="32"/>
        <v>-1.4265423689207518E-2</v>
      </c>
      <c r="E443" s="2">
        <f t="shared" si="34"/>
        <v>1.1418468311383354E-2</v>
      </c>
      <c r="F443" s="2">
        <f t="shared" si="33"/>
        <v>0.48718271067622015</v>
      </c>
      <c r="G443" s="2">
        <f t="shared" si="30"/>
        <v>0.48718271067622015</v>
      </c>
    </row>
    <row r="444" spans="1:7" x14ac:dyDescent="0.25">
      <c r="A444" s="18">
        <v>8.82</v>
      </c>
      <c r="B444" s="2">
        <v>-0.12112000000000001</v>
      </c>
      <c r="C444" s="2">
        <f t="shared" si="31"/>
        <v>24.224</v>
      </c>
      <c r="D444" s="2">
        <f t="shared" si="32"/>
        <v>-1.343608925197567E-2</v>
      </c>
      <c r="E444" s="2">
        <f t="shared" si="34"/>
        <v>1.5861533824034022E-2</v>
      </c>
      <c r="F444" s="2">
        <f t="shared" si="33"/>
        <v>0.52420267755927308</v>
      </c>
      <c r="G444" s="2">
        <f t="shared" si="30"/>
        <v>0.52420267755927308</v>
      </c>
    </row>
    <row r="445" spans="1:7" x14ac:dyDescent="0.25">
      <c r="A445" s="18">
        <v>8.84</v>
      </c>
      <c r="B445" s="2">
        <v>-0.18303</v>
      </c>
      <c r="C445" s="2">
        <f t="shared" si="31"/>
        <v>36.606000000000002</v>
      </c>
      <c r="D445" s="2">
        <f t="shared" si="32"/>
        <v>-1.2397073743720111E-2</v>
      </c>
      <c r="E445" s="2">
        <f t="shared" si="34"/>
        <v>2.0733360930796224E-2</v>
      </c>
      <c r="F445" s="2">
        <f t="shared" si="33"/>
        <v>0.55494221231160679</v>
      </c>
      <c r="G445" s="2">
        <f t="shared" si="30"/>
        <v>0.55494221231160679</v>
      </c>
    </row>
    <row r="446" spans="1:7" x14ac:dyDescent="0.25">
      <c r="A446" s="18">
        <v>8.86</v>
      </c>
      <c r="B446" s="2">
        <v>-0.12043</v>
      </c>
      <c r="C446" s="2">
        <f t="shared" si="31"/>
        <v>24.085999999999999</v>
      </c>
      <c r="D446" s="2">
        <f t="shared" si="32"/>
        <v>-1.113608135053991E-2</v>
      </c>
      <c r="E446" s="2">
        <f t="shared" si="34"/>
        <v>2.5975387706388953E-2</v>
      </c>
      <c r="F446" s="2">
        <f t="shared" si="33"/>
        <v>0.45451244051619794</v>
      </c>
      <c r="G446" s="2">
        <f t="shared" si="30"/>
        <v>0.45451244051619794</v>
      </c>
    </row>
    <row r="447" spans="1:7" x14ac:dyDescent="0.25">
      <c r="A447" s="18">
        <v>8.8800000000000008</v>
      </c>
      <c r="B447" s="2">
        <v>-5.7820000000000003E-2</v>
      </c>
      <c r="C447" s="2">
        <f t="shared" si="31"/>
        <v>11.564</v>
      </c>
      <c r="D447" s="2">
        <f t="shared" si="32"/>
        <v>-9.6932839811532303E-3</v>
      </c>
      <c r="E447" s="2">
        <f t="shared" si="34"/>
        <v>3.1524809829505021E-2</v>
      </c>
      <c r="F447" s="2">
        <f t="shared" si="33"/>
        <v>0.34861851943459532</v>
      </c>
      <c r="G447" s="2">
        <f t="shared" si="30"/>
        <v>0.34861851943459532</v>
      </c>
    </row>
    <row r="448" spans="1:7" x14ac:dyDescent="0.25">
      <c r="A448" s="18">
        <v>8.9</v>
      </c>
      <c r="B448" s="2">
        <v>4.79E-3</v>
      </c>
      <c r="C448" s="2">
        <f t="shared" si="31"/>
        <v>-0.95799999999999996</v>
      </c>
      <c r="D448" s="2">
        <f t="shared" si="32"/>
        <v>-8.1110392039927121E-3</v>
      </c>
      <c r="E448" s="2">
        <f t="shared" si="34"/>
        <v>3.6069934234666999E-2</v>
      </c>
      <c r="F448" s="2">
        <f t="shared" si="33"/>
        <v>0.23854117611978551</v>
      </c>
      <c r="G448" s="2">
        <f t="shared" si="30"/>
        <v>0.23854117611978551</v>
      </c>
    </row>
    <row r="449" spans="1:7" x14ac:dyDescent="0.25">
      <c r="A449" s="18">
        <v>8.92</v>
      </c>
      <c r="B449" s="2">
        <v>6.7400000000000002E-2</v>
      </c>
      <c r="C449" s="2">
        <f t="shared" si="31"/>
        <v>-13.48</v>
      </c>
      <c r="D449" s="2">
        <f t="shared" si="32"/>
        <v>-6.4333779563842796E-3</v>
      </c>
      <c r="E449" s="2">
        <f t="shared" si="34"/>
        <v>3.9556119429012958E-2</v>
      </c>
      <c r="F449" s="2">
        <f t="shared" si="33"/>
        <v>0.12560133869152959</v>
      </c>
      <c r="G449" s="2">
        <f t="shared" si="30"/>
        <v>0.12560133869152959</v>
      </c>
    </row>
    <row r="450" spans="1:7" x14ac:dyDescent="0.25">
      <c r="A450" s="18">
        <v>8.94</v>
      </c>
      <c r="B450" s="2">
        <v>0.13000999999999999</v>
      </c>
      <c r="C450" s="2">
        <f t="shared" si="31"/>
        <v>-26.001999999999999</v>
      </c>
      <c r="D450" s="2">
        <f t="shared" si="32"/>
        <v>-4.7054761732992353E-3</v>
      </c>
      <c r="E450" s="2">
        <f t="shared" si="34"/>
        <v>4.194153119021081E-2</v>
      </c>
      <c r="F450" s="2">
        <f t="shared" si="33"/>
        <v>1.1154285198976179E-2</v>
      </c>
      <c r="G450" s="2">
        <f t="shared" ref="G450:G513" si="35">HLOOKUP($Y$3,$B$1:$F$1562,ROW(),0)</f>
        <v>1.1154285198976179E-2</v>
      </c>
    </row>
    <row r="451" spans="1:7" x14ac:dyDescent="0.25">
      <c r="A451" s="18">
        <v>8.9600000000000009</v>
      </c>
      <c r="B451" s="2">
        <v>8.3729999999999999E-2</v>
      </c>
      <c r="C451" s="2">
        <f t="shared" ref="C451:C514" si="36">-$M$4*B451</f>
        <v>-16.745999999999999</v>
      </c>
      <c r="D451" s="2">
        <f t="shared" si="32"/>
        <v>-2.9731126761346005E-3</v>
      </c>
      <c r="E451" s="2">
        <f t="shared" si="34"/>
        <v>4.3197544577126108E-2</v>
      </c>
      <c r="F451" s="2">
        <f t="shared" si="33"/>
        <v>5.4633802840374805E-3</v>
      </c>
      <c r="G451" s="2">
        <f t="shared" si="35"/>
        <v>5.4633802840374805E-3</v>
      </c>
    </row>
    <row r="452" spans="1:7" x14ac:dyDescent="0.25">
      <c r="A452" s="18">
        <v>8.98</v>
      </c>
      <c r="B452" s="2">
        <v>3.7449999999999997E-2</v>
      </c>
      <c r="C452" s="2">
        <f t="shared" si="36"/>
        <v>-7.4899999999999993</v>
      </c>
      <c r="D452" s="2">
        <f t="shared" ref="D452:D515" si="37">(C451-($Q$6*D451)-($Q$7*D450))/$Q$5</f>
        <v>-1.2385638268563508E-3</v>
      </c>
      <c r="E452" s="2">
        <f t="shared" si="34"/>
        <v>4.3309087429115871E-2</v>
      </c>
      <c r="F452" s="2">
        <f t="shared" ref="F452:F515" si="38">(D451-2*D452+D453)/($A$4^2)</f>
        <v>-2.9308519430972868E-4</v>
      </c>
      <c r="G452" s="2">
        <f t="shared" si="35"/>
        <v>-2.9308519430972868E-4</v>
      </c>
    </row>
    <row r="453" spans="1:7" x14ac:dyDescent="0.25">
      <c r="A453" s="18">
        <v>9</v>
      </c>
      <c r="B453" s="2">
        <v>6.9790000000000005E-2</v>
      </c>
      <c r="C453" s="2">
        <f t="shared" si="36"/>
        <v>-13.958</v>
      </c>
      <c r="D453" s="2">
        <f t="shared" si="37"/>
        <v>4.9586778834417508E-4</v>
      </c>
      <c r="E453" s="2">
        <f t="shared" ref="E453:E516" si="39">(D452-D451)/(2*$A$4)</f>
        <v>4.336372123195624E-2</v>
      </c>
      <c r="F453" s="2">
        <f t="shared" si="38"/>
        <v>-8.4666033650325739E-2</v>
      </c>
      <c r="G453" s="2">
        <f t="shared" si="35"/>
        <v>-8.4666033650325739E-2</v>
      </c>
    </row>
    <row r="454" spans="1:7" x14ac:dyDescent="0.25">
      <c r="A454" s="18">
        <v>9.02</v>
      </c>
      <c r="B454" s="2">
        <v>0.10213</v>
      </c>
      <c r="C454" s="2">
        <f t="shared" si="36"/>
        <v>-20.425999999999998</v>
      </c>
      <c r="D454" s="2">
        <f t="shared" si="37"/>
        <v>2.1964329900845707E-3</v>
      </c>
      <c r="E454" s="2">
        <f t="shared" si="39"/>
        <v>4.3360790380013142E-2</v>
      </c>
      <c r="F454" s="2">
        <f t="shared" si="38"/>
        <v>-0.16802298970253615</v>
      </c>
      <c r="G454" s="2">
        <f t="shared" si="35"/>
        <v>-0.16802298970253615</v>
      </c>
    </row>
    <row r="455" spans="1:7" x14ac:dyDescent="0.25">
      <c r="A455" s="18">
        <v>9.0399999999999991</v>
      </c>
      <c r="B455" s="2">
        <v>-3.517E-2</v>
      </c>
      <c r="C455" s="2">
        <f t="shared" si="36"/>
        <v>7.0339999999999998</v>
      </c>
      <c r="D455" s="2">
        <f t="shared" si="37"/>
        <v>3.8297889959439516E-3</v>
      </c>
      <c r="E455" s="2">
        <f t="shared" si="39"/>
        <v>4.2514130043509887E-2</v>
      </c>
      <c r="F455" s="2">
        <f t="shared" si="38"/>
        <v>-7.9723669878315861E-2</v>
      </c>
      <c r="G455" s="2">
        <f t="shared" si="35"/>
        <v>-7.9723669878315861E-2</v>
      </c>
    </row>
    <row r="456" spans="1:7" x14ac:dyDescent="0.25">
      <c r="A456" s="18">
        <v>9.06</v>
      </c>
      <c r="B456" s="2">
        <v>-0.17247000000000001</v>
      </c>
      <c r="C456" s="2">
        <f t="shared" si="36"/>
        <v>34.494</v>
      </c>
      <c r="D456" s="2">
        <f t="shared" si="37"/>
        <v>5.4312555338520063E-3</v>
      </c>
      <c r="E456" s="2">
        <f t="shared" si="39"/>
        <v>4.0833900146484525E-2</v>
      </c>
      <c r="F456" s="2">
        <f t="shared" si="38"/>
        <v>9.5323339844373585E-3</v>
      </c>
      <c r="G456" s="2">
        <f t="shared" si="35"/>
        <v>9.5323339844373585E-3</v>
      </c>
    </row>
    <row r="457" spans="1:7" x14ac:dyDescent="0.25">
      <c r="A457" s="18">
        <v>9.08</v>
      </c>
      <c r="B457" s="2">
        <v>-0.13763</v>
      </c>
      <c r="C457" s="2">
        <f t="shared" si="36"/>
        <v>27.526</v>
      </c>
      <c r="D457" s="2">
        <f t="shared" si="37"/>
        <v>7.0365350053538363E-3</v>
      </c>
      <c r="E457" s="2">
        <f t="shared" si="39"/>
        <v>4.0036663447701362E-2</v>
      </c>
      <c r="F457" s="2">
        <f t="shared" si="38"/>
        <v>-7.3466050160616442E-2</v>
      </c>
      <c r="G457" s="2">
        <f t="shared" si="35"/>
        <v>-7.3466050160616442E-2</v>
      </c>
    </row>
    <row r="458" spans="1:7" x14ac:dyDescent="0.25">
      <c r="A458" s="18">
        <v>9.1</v>
      </c>
      <c r="B458" s="2">
        <v>-0.10278</v>
      </c>
      <c r="C458" s="2">
        <f t="shared" si="36"/>
        <v>20.556000000000001</v>
      </c>
      <c r="D458" s="2">
        <f t="shared" si="37"/>
        <v>8.6124280567914206E-3</v>
      </c>
      <c r="E458" s="2">
        <f t="shared" si="39"/>
        <v>4.0131986787545752E-2</v>
      </c>
      <c r="F458" s="2">
        <f t="shared" si="38"/>
        <v>-0.15559284170374355</v>
      </c>
      <c r="G458" s="2">
        <f t="shared" si="35"/>
        <v>-0.15559284170374355</v>
      </c>
    </row>
    <row r="459" spans="1:7" x14ac:dyDescent="0.25">
      <c r="A459" s="18">
        <v>9.1199999999999992</v>
      </c>
      <c r="B459" s="2">
        <v>-6.794E-2</v>
      </c>
      <c r="C459" s="2">
        <f t="shared" si="36"/>
        <v>13.588000000000001</v>
      </c>
      <c r="D459" s="2">
        <f t="shared" si="37"/>
        <v>1.0126083971547508E-2</v>
      </c>
      <c r="E459" s="2">
        <f t="shared" si="39"/>
        <v>3.9397326285939609E-2</v>
      </c>
      <c r="F459" s="2">
        <f t="shared" si="38"/>
        <v>-0.23584251914642895</v>
      </c>
      <c r="G459" s="2">
        <f t="shared" si="35"/>
        <v>-0.23584251914642895</v>
      </c>
    </row>
    <row r="460" spans="1:7" x14ac:dyDescent="0.25">
      <c r="A460" s="18">
        <v>9.14</v>
      </c>
      <c r="B460" s="2">
        <v>-3.3099999999999997E-2</v>
      </c>
      <c r="C460" s="2">
        <f t="shared" si="36"/>
        <v>6.6199999999999992</v>
      </c>
      <c r="D460" s="2">
        <f t="shared" si="37"/>
        <v>1.1545402878645025E-2</v>
      </c>
      <c r="E460" s="2">
        <f t="shared" si="39"/>
        <v>3.7841397868902192E-2</v>
      </c>
      <c r="F460" s="2">
        <f t="shared" si="38"/>
        <v>-0.31326208635935271</v>
      </c>
      <c r="G460" s="2">
        <f t="shared" si="35"/>
        <v>-0.31326208635935271</v>
      </c>
    </row>
    <row r="461" spans="1:7" x14ac:dyDescent="0.25">
      <c r="A461" s="18">
        <v>9.16</v>
      </c>
      <c r="B461" s="2">
        <v>-3.6470000000000002E-2</v>
      </c>
      <c r="C461" s="2">
        <f t="shared" si="36"/>
        <v>7.2940000000000005</v>
      </c>
      <c r="D461" s="2">
        <f t="shared" si="37"/>
        <v>1.28394169511988E-2</v>
      </c>
      <c r="E461" s="2">
        <f t="shared" si="39"/>
        <v>3.5482972677437906E-2</v>
      </c>
      <c r="F461" s="2">
        <f t="shared" si="38"/>
        <v>-0.34871250853596258</v>
      </c>
      <c r="G461" s="2">
        <f t="shared" si="35"/>
        <v>-0.34871250853596258</v>
      </c>
    </row>
    <row r="462" spans="1:7" x14ac:dyDescent="0.25">
      <c r="A462" s="18">
        <v>9.18</v>
      </c>
      <c r="B462" s="2">
        <v>-3.984E-2</v>
      </c>
      <c r="C462" s="2">
        <f t="shared" si="36"/>
        <v>7.968</v>
      </c>
      <c r="D462" s="2">
        <f t="shared" si="37"/>
        <v>1.399394602033819E-2</v>
      </c>
      <c r="E462" s="2">
        <f t="shared" si="39"/>
        <v>3.2350351813844373E-2</v>
      </c>
      <c r="F462" s="2">
        <f t="shared" si="38"/>
        <v>-0.37997838061014799</v>
      </c>
      <c r="G462" s="2">
        <f t="shared" si="35"/>
        <v>-0.37997838061014799</v>
      </c>
    </row>
    <row r="463" spans="1:7" x14ac:dyDescent="0.25">
      <c r="A463" s="18">
        <v>9.1999999999999993</v>
      </c>
      <c r="B463" s="2">
        <v>-5.1700000000000001E-3</v>
      </c>
      <c r="C463" s="2">
        <f t="shared" si="36"/>
        <v>1.034</v>
      </c>
      <c r="D463" s="2">
        <f t="shared" si="37"/>
        <v>1.499648373723352E-2</v>
      </c>
      <c r="E463" s="2">
        <f t="shared" si="39"/>
        <v>2.886322672848475E-2</v>
      </c>
      <c r="F463" s="2">
        <f t="shared" si="38"/>
        <v>-0.44472451211701075</v>
      </c>
      <c r="G463" s="2">
        <f t="shared" si="35"/>
        <v>-0.44472451211701075</v>
      </c>
    </row>
    <row r="464" spans="1:7" x14ac:dyDescent="0.25">
      <c r="A464" s="18">
        <v>9.2200000000000006</v>
      </c>
      <c r="B464" s="2">
        <v>2.9499999999999998E-2</v>
      </c>
      <c r="C464" s="2">
        <f t="shared" si="36"/>
        <v>-5.8999999999999995</v>
      </c>
      <c r="D464" s="2">
        <f t="shared" si="37"/>
        <v>1.5821131649282047E-2</v>
      </c>
      <c r="E464" s="2">
        <f t="shared" si="39"/>
        <v>2.5063442922383269E-2</v>
      </c>
      <c r="F464" s="2">
        <f t="shared" si="38"/>
        <v>-0.5041339494784528</v>
      </c>
      <c r="G464" s="2">
        <f t="shared" si="35"/>
        <v>-0.5041339494784528</v>
      </c>
    </row>
    <row r="465" spans="1:7" x14ac:dyDescent="0.25">
      <c r="A465" s="18">
        <v>9.24</v>
      </c>
      <c r="B465" s="2">
        <v>6.4170000000000005E-2</v>
      </c>
      <c r="C465" s="2">
        <f t="shared" si="36"/>
        <v>-12.834000000000001</v>
      </c>
      <c r="D465" s="2">
        <f t="shared" si="37"/>
        <v>1.6444125981539191E-2</v>
      </c>
      <c r="E465" s="2">
        <f t="shared" si="39"/>
        <v>2.0616197801213161E-2</v>
      </c>
      <c r="F465" s="2">
        <f t="shared" si="38"/>
        <v>-0.55749377944618206</v>
      </c>
      <c r="G465" s="2">
        <f t="shared" si="35"/>
        <v>-0.55749377944618206</v>
      </c>
    </row>
    <row r="466" spans="1:7" x14ac:dyDescent="0.25">
      <c r="A466" s="18">
        <v>9.26</v>
      </c>
      <c r="B466" s="2">
        <v>9.8830000000000001E-2</v>
      </c>
      <c r="C466" s="2">
        <f t="shared" si="36"/>
        <v>-19.766000000000002</v>
      </c>
      <c r="D466" s="2">
        <f t="shared" si="37"/>
        <v>1.6844122802017861E-2</v>
      </c>
      <c r="E466" s="2">
        <f t="shared" si="39"/>
        <v>1.5574858306428591E-2</v>
      </c>
      <c r="F466" s="2">
        <f t="shared" si="38"/>
        <v>-0.60415368406053349</v>
      </c>
      <c r="G466" s="2">
        <f t="shared" si="35"/>
        <v>-0.60415368406053349</v>
      </c>
    </row>
    <row r="467" spans="1:7" x14ac:dyDescent="0.25">
      <c r="A467" s="18">
        <v>9.2799999999999994</v>
      </c>
      <c r="B467" s="2">
        <v>0.13350000000000001</v>
      </c>
      <c r="C467" s="2">
        <f t="shared" si="36"/>
        <v>-26.700000000000003</v>
      </c>
      <c r="D467" s="2">
        <f t="shared" si="37"/>
        <v>1.7002458148872319E-2</v>
      </c>
      <c r="E467" s="2">
        <f t="shared" si="39"/>
        <v>9.99992051196677E-3</v>
      </c>
      <c r="F467" s="2">
        <f t="shared" si="38"/>
        <v>-0.64357374446617066</v>
      </c>
      <c r="G467" s="2">
        <f t="shared" si="35"/>
        <v>-0.64357374446617066</v>
      </c>
    </row>
    <row r="468" spans="1:7" x14ac:dyDescent="0.25">
      <c r="A468" s="18">
        <v>9.3000000000000007</v>
      </c>
      <c r="B468" s="2">
        <v>5.9240000000000001E-2</v>
      </c>
      <c r="C468" s="2">
        <f t="shared" si="36"/>
        <v>-11.848000000000001</v>
      </c>
      <c r="D468" s="2">
        <f t="shared" si="37"/>
        <v>1.6903363997940308E-2</v>
      </c>
      <c r="E468" s="2">
        <f t="shared" si="39"/>
        <v>3.9583836713614345E-3</v>
      </c>
      <c r="F468" s="2">
        <f t="shared" si="38"/>
        <v>-0.56634091993822999</v>
      </c>
      <c r="G468" s="2">
        <f t="shared" si="35"/>
        <v>-0.56634091993822999</v>
      </c>
    </row>
    <row r="469" spans="1:7" x14ac:dyDescent="0.25">
      <c r="A469" s="18">
        <v>9.32</v>
      </c>
      <c r="B469" s="2">
        <v>-1.503E-2</v>
      </c>
      <c r="C469" s="2">
        <f t="shared" si="36"/>
        <v>3.0059999999999998</v>
      </c>
      <c r="D469" s="2">
        <f t="shared" si="37"/>
        <v>1.6577733479033005E-2</v>
      </c>
      <c r="E469" s="2">
        <f t="shared" si="39"/>
        <v>-2.4773537733002726E-3</v>
      </c>
      <c r="F469" s="2">
        <f t="shared" si="38"/>
        <v>-0.48230200437099008</v>
      </c>
      <c r="G469" s="2">
        <f t="shared" si="35"/>
        <v>-0.48230200437099008</v>
      </c>
    </row>
    <row r="470" spans="1:7" x14ac:dyDescent="0.25">
      <c r="A470" s="18">
        <v>9.34</v>
      </c>
      <c r="B470" s="2">
        <v>-8.9289999999999994E-2</v>
      </c>
      <c r="C470" s="2">
        <f t="shared" si="36"/>
        <v>17.858000000000001</v>
      </c>
      <c r="D470" s="2">
        <f t="shared" si="37"/>
        <v>1.6059182158377306E-2</v>
      </c>
      <c r="E470" s="2">
        <f t="shared" si="39"/>
        <v>-8.1407629726825727E-3</v>
      </c>
      <c r="F470" s="2">
        <f t="shared" si="38"/>
        <v>-0.39248546475132479</v>
      </c>
      <c r="G470" s="2">
        <f t="shared" si="35"/>
        <v>-0.39248546475132479</v>
      </c>
    </row>
    <row r="471" spans="1:7" x14ac:dyDescent="0.25">
      <c r="A471" s="18">
        <v>9.36</v>
      </c>
      <c r="B471" s="2">
        <v>-0.16355</v>
      </c>
      <c r="C471" s="2">
        <f t="shared" si="36"/>
        <v>32.71</v>
      </c>
      <c r="D471" s="2">
        <f t="shared" si="37"/>
        <v>1.5383636651821077E-2</v>
      </c>
      <c r="E471" s="2">
        <f t="shared" si="39"/>
        <v>-1.2963783016392474E-2</v>
      </c>
      <c r="F471" s="2">
        <f t="shared" si="38"/>
        <v>-0.29795909955462968</v>
      </c>
      <c r="G471" s="2">
        <f t="shared" si="35"/>
        <v>-0.29795909955462968</v>
      </c>
    </row>
    <row r="472" spans="1:7" x14ac:dyDescent="0.25">
      <c r="A472" s="18">
        <v>9.3800000000000008</v>
      </c>
      <c r="B472" s="2">
        <v>-6.096E-2</v>
      </c>
      <c r="C472" s="2">
        <f t="shared" si="36"/>
        <v>12.192</v>
      </c>
      <c r="D472" s="2">
        <f t="shared" si="37"/>
        <v>1.4588907505442996E-2</v>
      </c>
      <c r="E472" s="2">
        <f t="shared" si="39"/>
        <v>-1.688863766390572E-2</v>
      </c>
      <c r="F472" s="2">
        <f t="shared" si="38"/>
        <v>-0.3767072251632938</v>
      </c>
      <c r="G472" s="2">
        <f t="shared" si="35"/>
        <v>-0.3767072251632938</v>
      </c>
    </row>
    <row r="473" spans="1:7" x14ac:dyDescent="0.25">
      <c r="A473" s="18">
        <v>9.4</v>
      </c>
      <c r="B473" s="2">
        <v>4.1640000000000003E-2</v>
      </c>
      <c r="C473" s="2">
        <f t="shared" si="36"/>
        <v>-8.3280000000000012</v>
      </c>
      <c r="D473" s="2">
        <f t="shared" si="37"/>
        <v>1.3643495468999598E-2</v>
      </c>
      <c r="E473" s="2">
        <f t="shared" si="39"/>
        <v>-1.9868228659452019E-2</v>
      </c>
      <c r="F473" s="2">
        <f t="shared" si="38"/>
        <v>-0.45094486406998308</v>
      </c>
      <c r="G473" s="2">
        <f t="shared" si="35"/>
        <v>-0.45094486406998308</v>
      </c>
    </row>
    <row r="474" spans="1:7" x14ac:dyDescent="0.25">
      <c r="A474" s="18">
        <v>9.42</v>
      </c>
      <c r="B474" s="2">
        <v>1.5509999999999999E-2</v>
      </c>
      <c r="C474" s="2">
        <f t="shared" si="36"/>
        <v>-3.1019999999999999</v>
      </c>
      <c r="D474" s="2">
        <f t="shared" si="37"/>
        <v>1.2517705486928207E-2</v>
      </c>
      <c r="E474" s="2">
        <f t="shared" si="39"/>
        <v>-2.3635300911084955E-2</v>
      </c>
      <c r="F474" s="2">
        <f t="shared" si="38"/>
        <v>-0.39104116460784466</v>
      </c>
      <c r="G474" s="2">
        <f t="shared" si="35"/>
        <v>-0.39104116460784466</v>
      </c>
    </row>
    <row r="475" spans="1:7" x14ac:dyDescent="0.25">
      <c r="A475" s="18">
        <v>9.44</v>
      </c>
      <c r="B475" s="2">
        <v>-1.061E-2</v>
      </c>
      <c r="C475" s="2">
        <f t="shared" si="36"/>
        <v>2.1219999999999999</v>
      </c>
      <c r="D475" s="2">
        <f t="shared" si="37"/>
        <v>1.1235499039013677E-2</v>
      </c>
      <c r="E475" s="2">
        <f t="shared" si="39"/>
        <v>-2.8144749551784788E-2</v>
      </c>
      <c r="F475" s="2">
        <f t="shared" si="38"/>
        <v>-0.32645497117041522</v>
      </c>
      <c r="G475" s="2">
        <f t="shared" si="35"/>
        <v>-0.32645497117041522</v>
      </c>
    </row>
    <row r="476" spans="1:7" x14ac:dyDescent="0.25">
      <c r="A476" s="18">
        <v>9.4600000000000009</v>
      </c>
      <c r="B476" s="2">
        <v>-3.6740000000000002E-2</v>
      </c>
      <c r="C476" s="2">
        <f t="shared" si="36"/>
        <v>7.3480000000000008</v>
      </c>
      <c r="D476" s="2">
        <f t="shared" si="37"/>
        <v>9.8227106026309817E-3</v>
      </c>
      <c r="E476" s="2">
        <f t="shared" si="39"/>
        <v>-3.2055161197863231E-2</v>
      </c>
      <c r="F476" s="2">
        <f t="shared" si="38"/>
        <v>-0.2579413180789315</v>
      </c>
      <c r="G476" s="2">
        <f t="shared" si="35"/>
        <v>-0.2579413180789315</v>
      </c>
    </row>
    <row r="477" spans="1:7" x14ac:dyDescent="0.25">
      <c r="A477" s="18">
        <v>9.48</v>
      </c>
      <c r="B477" s="2">
        <v>-6.2869999999999995E-2</v>
      </c>
      <c r="C477" s="2">
        <f t="shared" si="36"/>
        <v>12.574</v>
      </c>
      <c r="D477" s="2">
        <f t="shared" si="37"/>
        <v>8.3067456390167136E-3</v>
      </c>
      <c r="E477" s="2">
        <f t="shared" si="39"/>
        <v>-3.5319710909567384E-2</v>
      </c>
      <c r="F477" s="2">
        <f t="shared" si="38"/>
        <v>-0.18633236917049451</v>
      </c>
      <c r="G477" s="2">
        <f t="shared" si="35"/>
        <v>-0.18633236917049451</v>
      </c>
    </row>
    <row r="478" spans="1:7" x14ac:dyDescent="0.25">
      <c r="A478" s="18">
        <v>9.5</v>
      </c>
      <c r="B478" s="2">
        <v>-8.899E-2</v>
      </c>
      <c r="C478" s="2">
        <f t="shared" si="36"/>
        <v>17.797999999999998</v>
      </c>
      <c r="D478" s="2">
        <f t="shared" si="37"/>
        <v>6.7162477277342477E-3</v>
      </c>
      <c r="E478" s="2">
        <f t="shared" si="39"/>
        <v>-3.7899124090356701E-2</v>
      </c>
      <c r="F478" s="2">
        <f t="shared" si="38"/>
        <v>-0.1124974318320298</v>
      </c>
      <c r="G478" s="2">
        <f t="shared" si="35"/>
        <v>-0.1124974318320298</v>
      </c>
    </row>
    <row r="479" spans="1:7" x14ac:dyDescent="0.25">
      <c r="A479" s="18">
        <v>9.52</v>
      </c>
      <c r="B479" s="2">
        <v>-5.4300000000000001E-2</v>
      </c>
      <c r="C479" s="2">
        <f t="shared" si="36"/>
        <v>10.86</v>
      </c>
      <c r="D479" s="2">
        <f t="shared" si="37"/>
        <v>5.0807508437189699E-3</v>
      </c>
      <c r="E479" s="2">
        <f t="shared" si="39"/>
        <v>-3.9762447782061644E-2</v>
      </c>
      <c r="F479" s="2">
        <f t="shared" si="38"/>
        <v>-9.8122525311568939E-2</v>
      </c>
      <c r="G479" s="2">
        <f t="shared" si="35"/>
        <v>-9.8122525311568939E-2</v>
      </c>
    </row>
    <row r="480" spans="1:7" x14ac:dyDescent="0.25">
      <c r="A480" s="18">
        <v>9.5399999999999991</v>
      </c>
      <c r="B480" s="2">
        <v>-1.9609999999999999E-2</v>
      </c>
      <c r="C480" s="2">
        <f t="shared" si="36"/>
        <v>3.9219999999999997</v>
      </c>
      <c r="D480" s="2">
        <f t="shared" si="37"/>
        <v>3.4060049495790645E-3</v>
      </c>
      <c r="E480" s="2">
        <f t="shared" si="39"/>
        <v>-4.0887422100381945E-2</v>
      </c>
      <c r="F480" s="2">
        <f t="shared" si="38"/>
        <v>-8.2570148487370529E-2</v>
      </c>
      <c r="G480" s="2">
        <f t="shared" si="35"/>
        <v>-8.2570148487370529E-2</v>
      </c>
    </row>
    <row r="481" spans="1:7" x14ac:dyDescent="0.25">
      <c r="A481" s="18">
        <v>9.56</v>
      </c>
      <c r="B481" s="2">
        <v>1.508E-2</v>
      </c>
      <c r="C481" s="2">
        <f t="shared" si="36"/>
        <v>-3.016</v>
      </c>
      <c r="D481" s="2">
        <f t="shared" si="37"/>
        <v>1.6982309960442109E-3</v>
      </c>
      <c r="E481" s="2">
        <f t="shared" si="39"/>
        <v>-4.1868647353497636E-2</v>
      </c>
      <c r="F481" s="2">
        <f t="shared" si="38"/>
        <v>-6.6026929881326718E-2</v>
      </c>
      <c r="G481" s="2">
        <f t="shared" si="35"/>
        <v>-6.6026929881326718E-2</v>
      </c>
    </row>
    <row r="482" spans="1:7" x14ac:dyDescent="0.25">
      <c r="A482" s="18">
        <v>9.58</v>
      </c>
      <c r="B482" s="2">
        <v>4.9770000000000002E-2</v>
      </c>
      <c r="C482" s="2">
        <f t="shared" si="36"/>
        <v>-9.9540000000000006</v>
      </c>
      <c r="D482" s="2">
        <f t="shared" si="37"/>
        <v>-3.5953729443173419E-5</v>
      </c>
      <c r="E482" s="2">
        <f t="shared" si="39"/>
        <v>-4.2694348838371338E-2</v>
      </c>
      <c r="F482" s="2">
        <f t="shared" si="38"/>
        <v>-4.8691388116704475E-2</v>
      </c>
      <c r="G482" s="2">
        <f t="shared" si="35"/>
        <v>-4.8691388116704475E-2</v>
      </c>
    </row>
    <row r="483" spans="1:7" x14ac:dyDescent="0.25">
      <c r="A483" s="18">
        <v>9.6</v>
      </c>
      <c r="B483" s="2">
        <v>8.4459999999999993E-2</v>
      </c>
      <c r="C483" s="2">
        <f t="shared" si="36"/>
        <v>-16.891999999999999</v>
      </c>
      <c r="D483" s="2">
        <f t="shared" si="37"/>
        <v>-1.7896150101772395E-3</v>
      </c>
      <c r="E483" s="2">
        <f t="shared" si="39"/>
        <v>-4.3354618137184608E-2</v>
      </c>
      <c r="F483" s="2">
        <f t="shared" si="38"/>
        <v>-3.07715496946834E-2</v>
      </c>
      <c r="G483" s="2">
        <f t="shared" si="35"/>
        <v>-3.07715496946834E-2</v>
      </c>
    </row>
    <row r="484" spans="1:7" x14ac:dyDescent="0.25">
      <c r="A484" s="18">
        <v>9.6199999999999992</v>
      </c>
      <c r="B484" s="2">
        <v>5.0229999999999997E-2</v>
      </c>
      <c r="C484" s="2">
        <f t="shared" si="36"/>
        <v>-10.045999999999999</v>
      </c>
      <c r="D484" s="2">
        <f t="shared" si="37"/>
        <v>-3.555584910789179E-3</v>
      </c>
      <c r="E484" s="2">
        <f t="shared" si="39"/>
        <v>-4.3841532018351649E-2</v>
      </c>
      <c r="F484" s="2">
        <f t="shared" si="38"/>
        <v>5.6437547323675855E-2</v>
      </c>
      <c r="G484" s="2">
        <f t="shared" si="35"/>
        <v>5.6437547323675855E-2</v>
      </c>
    </row>
    <row r="485" spans="1:7" x14ac:dyDescent="0.25">
      <c r="A485" s="18">
        <v>9.64</v>
      </c>
      <c r="B485" s="2">
        <v>1.6E-2</v>
      </c>
      <c r="C485" s="2">
        <f t="shared" si="36"/>
        <v>-3.2</v>
      </c>
      <c r="D485" s="2">
        <f t="shared" si="37"/>
        <v>-5.2989797924716479E-3</v>
      </c>
      <c r="E485" s="2">
        <f t="shared" si="39"/>
        <v>-4.4149247515298487E-2</v>
      </c>
      <c r="F485" s="2">
        <f t="shared" si="38"/>
        <v>0.14296939377415277</v>
      </c>
      <c r="G485" s="2">
        <f t="shared" si="35"/>
        <v>0.14296939377415277</v>
      </c>
    </row>
    <row r="486" spans="1:7" x14ac:dyDescent="0.25">
      <c r="A486" s="18">
        <v>9.66</v>
      </c>
      <c r="B486" s="2">
        <v>-1.823E-2</v>
      </c>
      <c r="C486" s="2">
        <f t="shared" si="36"/>
        <v>3.6459999999999999</v>
      </c>
      <c r="D486" s="2">
        <f t="shared" si="37"/>
        <v>-6.9851869166444557E-3</v>
      </c>
      <c r="E486" s="2">
        <f t="shared" si="39"/>
        <v>-4.3584872042061719E-2</v>
      </c>
      <c r="F486" s="2">
        <f t="shared" si="38"/>
        <v>0.22778560749933238</v>
      </c>
      <c r="G486" s="2">
        <f t="shared" si="35"/>
        <v>0.22778560749933238</v>
      </c>
    </row>
    <row r="487" spans="1:7" x14ac:dyDescent="0.25">
      <c r="A487" s="18">
        <v>9.68</v>
      </c>
      <c r="B487" s="2">
        <v>-5.246E-2</v>
      </c>
      <c r="C487" s="2">
        <f t="shared" si="36"/>
        <v>10.491999999999999</v>
      </c>
      <c r="D487" s="2">
        <f t="shared" si="37"/>
        <v>-8.5802797978175305E-3</v>
      </c>
      <c r="E487" s="2">
        <f t="shared" si="39"/>
        <v>-4.2155178104320193E-2</v>
      </c>
      <c r="F487" s="2">
        <f t="shared" si="38"/>
        <v>0.3098683939345252</v>
      </c>
      <c r="G487" s="2">
        <f t="shared" si="35"/>
        <v>0.3098683939345252</v>
      </c>
    </row>
    <row r="488" spans="1:7" x14ac:dyDescent="0.25">
      <c r="A488" s="18">
        <v>9.6999999999999993</v>
      </c>
      <c r="B488" s="2">
        <v>-8.6690000000000003E-2</v>
      </c>
      <c r="C488" s="2">
        <f t="shared" si="36"/>
        <v>17.338000000000001</v>
      </c>
      <c r="D488" s="2">
        <f t="shared" si="37"/>
        <v>-1.0051425321416795E-2</v>
      </c>
      <c r="E488" s="2">
        <f t="shared" si="39"/>
        <v>-3.9877322029326867E-2</v>
      </c>
      <c r="F488" s="2">
        <f t="shared" si="38"/>
        <v>0.38823275964250042</v>
      </c>
      <c r="G488" s="2">
        <f t="shared" si="35"/>
        <v>0.38823275964250042</v>
      </c>
    </row>
    <row r="489" spans="1:7" x14ac:dyDescent="0.25">
      <c r="A489" s="18">
        <v>9.7200000000000006</v>
      </c>
      <c r="B489" s="2">
        <v>-6.769E-2</v>
      </c>
      <c r="C489" s="2">
        <f t="shared" si="36"/>
        <v>13.538</v>
      </c>
      <c r="D489" s="2">
        <f t="shared" si="37"/>
        <v>-1.136727774115906E-2</v>
      </c>
      <c r="E489" s="2">
        <f t="shared" si="39"/>
        <v>-3.6778638089981615E-2</v>
      </c>
      <c r="F489" s="2">
        <f t="shared" si="38"/>
        <v>0.40870833223477332</v>
      </c>
      <c r="G489" s="2">
        <f t="shared" si="35"/>
        <v>0.40870833223477332</v>
      </c>
    </row>
    <row r="490" spans="1:7" x14ac:dyDescent="0.25">
      <c r="A490" s="18">
        <v>9.74</v>
      </c>
      <c r="B490" s="2">
        <v>-4.87E-2</v>
      </c>
      <c r="C490" s="2">
        <f t="shared" si="36"/>
        <v>9.74</v>
      </c>
      <c r="D490" s="2">
        <f t="shared" si="37"/>
        <v>-1.2519646828007415E-2</v>
      </c>
      <c r="E490" s="2">
        <f t="shared" si="39"/>
        <v>-3.289631049355661E-2</v>
      </c>
      <c r="F490" s="2">
        <f t="shared" si="38"/>
        <v>0.42428940484021993</v>
      </c>
      <c r="G490" s="2">
        <f t="shared" si="35"/>
        <v>0.42428940484021993</v>
      </c>
    </row>
    <row r="491" spans="1:7" x14ac:dyDescent="0.25">
      <c r="A491" s="18">
        <v>9.76</v>
      </c>
      <c r="B491" s="2">
        <v>-2.9700000000000001E-2</v>
      </c>
      <c r="C491" s="2">
        <f t="shared" si="36"/>
        <v>5.94</v>
      </c>
      <c r="D491" s="2">
        <f t="shared" si="37"/>
        <v>-1.3502300152919682E-2</v>
      </c>
      <c r="E491" s="2">
        <f t="shared" si="39"/>
        <v>-2.880922717120888E-2</v>
      </c>
      <c r="F491" s="2">
        <f t="shared" si="38"/>
        <v>0.43476900458759393</v>
      </c>
      <c r="G491" s="2">
        <f t="shared" si="35"/>
        <v>0.43476900458759393</v>
      </c>
    </row>
    <row r="492" spans="1:7" x14ac:dyDescent="0.25">
      <c r="A492" s="18">
        <v>9.7799999999999994</v>
      </c>
      <c r="B492" s="2">
        <v>-1.0710000000000001E-2</v>
      </c>
      <c r="C492" s="2">
        <f t="shared" si="36"/>
        <v>2.1420000000000003</v>
      </c>
      <c r="D492" s="2">
        <f t="shared" si="37"/>
        <v>-1.4311045875996912E-2</v>
      </c>
      <c r="E492" s="2">
        <f t="shared" si="39"/>
        <v>-2.4566333122806681E-2</v>
      </c>
      <c r="F492" s="2">
        <f t="shared" si="38"/>
        <v>0.44004137627990864</v>
      </c>
      <c r="G492" s="2">
        <f t="shared" si="35"/>
        <v>0.44004137627990864</v>
      </c>
    </row>
    <row r="493" spans="1:7" x14ac:dyDescent="0.25">
      <c r="A493" s="18">
        <v>9.8000000000000007</v>
      </c>
      <c r="B493" s="2">
        <v>8.2900000000000005E-3</v>
      </c>
      <c r="C493" s="2">
        <f t="shared" si="36"/>
        <v>-1.6580000000000001</v>
      </c>
      <c r="D493" s="2">
        <f t="shared" si="37"/>
        <v>-1.4943775048562178E-2</v>
      </c>
      <c r="E493" s="2">
        <f t="shared" si="39"/>
        <v>-2.0218643076930741E-2</v>
      </c>
      <c r="F493" s="2">
        <f t="shared" si="38"/>
        <v>0.44002325145686866</v>
      </c>
      <c r="G493" s="2">
        <f t="shared" si="35"/>
        <v>0.44002325145686866</v>
      </c>
    </row>
    <row r="494" spans="1:7" x14ac:dyDescent="0.25">
      <c r="A494" s="18">
        <v>9.82</v>
      </c>
      <c r="B494" s="2">
        <v>-3.14E-3</v>
      </c>
      <c r="C494" s="2">
        <f t="shared" si="36"/>
        <v>0.628</v>
      </c>
      <c r="D494" s="2">
        <f t="shared" si="37"/>
        <v>-1.5400494920544697E-2</v>
      </c>
      <c r="E494" s="2">
        <f t="shared" si="39"/>
        <v>-1.5818229314131654E-2</v>
      </c>
      <c r="F494" s="2">
        <f t="shared" si="38"/>
        <v>0.46515484761634923</v>
      </c>
      <c r="G494" s="2">
        <f t="shared" si="35"/>
        <v>0.46515484761634923</v>
      </c>
    </row>
    <row r="495" spans="1:7" x14ac:dyDescent="0.25">
      <c r="A495" s="18">
        <v>9.84</v>
      </c>
      <c r="B495" s="2">
        <v>2.9659999999999999E-2</v>
      </c>
      <c r="C495" s="2">
        <f t="shared" si="36"/>
        <v>-5.9319999999999995</v>
      </c>
      <c r="D495" s="2">
        <f t="shared" si="37"/>
        <v>-1.5671152853480676E-2</v>
      </c>
      <c r="E495" s="2">
        <f t="shared" si="39"/>
        <v>-1.1417996799562968E-2</v>
      </c>
      <c r="F495" s="2">
        <f t="shared" si="38"/>
        <v>0.44047458560442404</v>
      </c>
      <c r="G495" s="2">
        <f t="shared" si="35"/>
        <v>0.44047458560442404</v>
      </c>
    </row>
    <row r="496" spans="1:7" x14ac:dyDescent="0.25">
      <c r="A496" s="18">
        <v>9.86</v>
      </c>
      <c r="B496" s="2">
        <v>6.2460000000000002E-2</v>
      </c>
      <c r="C496" s="2">
        <f t="shared" si="36"/>
        <v>-12.492000000000001</v>
      </c>
      <c r="D496" s="2">
        <f t="shared" si="37"/>
        <v>-1.5765620952174885E-2</v>
      </c>
      <c r="E496" s="2">
        <f t="shared" si="39"/>
        <v>-6.7664483233994752E-3</v>
      </c>
      <c r="F496" s="2">
        <f t="shared" si="38"/>
        <v>0.41050862856524017</v>
      </c>
      <c r="G496" s="2">
        <f t="shared" si="35"/>
        <v>0.41050862856524017</v>
      </c>
    </row>
    <row r="497" spans="1:7" x14ac:dyDescent="0.25">
      <c r="A497" s="18">
        <v>9.8800000000000008</v>
      </c>
      <c r="B497" s="2">
        <v>-2.3400000000000001E-3</v>
      </c>
      <c r="C497" s="2">
        <f t="shared" si="36"/>
        <v>0.46800000000000003</v>
      </c>
      <c r="D497" s="2">
        <f t="shared" si="37"/>
        <v>-1.5695885599442998E-2</v>
      </c>
      <c r="E497" s="2">
        <f t="shared" si="39"/>
        <v>-2.3617024673552346E-3</v>
      </c>
      <c r="F497" s="2">
        <f t="shared" si="38"/>
        <v>0.4732165679832917</v>
      </c>
      <c r="G497" s="2">
        <f t="shared" si="35"/>
        <v>0.4732165679832917</v>
      </c>
    </row>
    <row r="498" spans="1:7" x14ac:dyDescent="0.25">
      <c r="A498" s="18">
        <v>9.9</v>
      </c>
      <c r="B498" s="2">
        <v>-6.7140000000000005E-2</v>
      </c>
      <c r="C498" s="2">
        <f t="shared" si="36"/>
        <v>13.428000000000001</v>
      </c>
      <c r="D498" s="2">
        <f t="shared" si="37"/>
        <v>-1.5436863619517795E-2</v>
      </c>
      <c r="E498" s="2">
        <f t="shared" si="39"/>
        <v>1.7433838182971673E-3</v>
      </c>
      <c r="F498" s="2">
        <f t="shared" si="38"/>
        <v>0.53024590858552656</v>
      </c>
      <c r="G498" s="2">
        <f t="shared" si="35"/>
        <v>0.53024590858552656</v>
      </c>
    </row>
    <row r="499" spans="1:7" x14ac:dyDescent="0.25">
      <c r="A499" s="18">
        <v>9.92</v>
      </c>
      <c r="B499" s="2">
        <v>-4.0509999999999997E-2</v>
      </c>
      <c r="C499" s="2">
        <f t="shared" si="36"/>
        <v>8.1020000000000003</v>
      </c>
      <c r="D499" s="2">
        <f t="shared" si="37"/>
        <v>-1.4965743276158381E-2</v>
      </c>
      <c r="E499" s="2">
        <f t="shared" si="39"/>
        <v>6.4755494981300846E-3</v>
      </c>
      <c r="F499" s="2">
        <f t="shared" si="38"/>
        <v>0.48948229828475742</v>
      </c>
      <c r="G499" s="2">
        <f t="shared" si="35"/>
        <v>0.48948229828475742</v>
      </c>
    </row>
    <row r="500" spans="1:7" x14ac:dyDescent="0.25">
      <c r="A500" s="18">
        <v>9.94</v>
      </c>
      <c r="B500" s="2">
        <v>-1.388E-2</v>
      </c>
      <c r="C500" s="2">
        <f t="shared" si="36"/>
        <v>2.7759999999999998</v>
      </c>
      <c r="D500" s="2">
        <f t="shared" si="37"/>
        <v>-1.4298830013485064E-2</v>
      </c>
      <c r="E500" s="2">
        <f t="shared" si="39"/>
        <v>1.1778008583985351E-2</v>
      </c>
      <c r="F500" s="2">
        <f t="shared" si="38"/>
        <v>0.44284490040454733</v>
      </c>
      <c r="G500" s="2">
        <f t="shared" si="35"/>
        <v>0.44284490040454733</v>
      </c>
    </row>
    <row r="501" spans="1:7" x14ac:dyDescent="0.25">
      <c r="A501" s="18">
        <v>9.9600000000000009</v>
      </c>
      <c r="B501" s="2">
        <v>1.274E-2</v>
      </c>
      <c r="C501" s="2">
        <f t="shared" si="36"/>
        <v>-2.548</v>
      </c>
      <c r="D501" s="2">
        <f t="shared" si="37"/>
        <v>-1.3454778790649928E-2</v>
      </c>
      <c r="E501" s="2">
        <f t="shared" si="39"/>
        <v>1.6672831566832923E-2</v>
      </c>
      <c r="F501" s="2">
        <f t="shared" si="38"/>
        <v>0.39090336371949264</v>
      </c>
      <c r="G501" s="2">
        <f t="shared" si="35"/>
        <v>0.39090336371949264</v>
      </c>
    </row>
    <row r="502" spans="1:7" x14ac:dyDescent="0.25">
      <c r="A502" s="18">
        <v>9.98</v>
      </c>
      <c r="B502" s="2">
        <v>8.0499999999999999E-3</v>
      </c>
      <c r="C502" s="2">
        <f t="shared" si="36"/>
        <v>-1.6099999999999999</v>
      </c>
      <c r="D502" s="2">
        <f t="shared" si="37"/>
        <v>-1.2454366222326995E-2</v>
      </c>
      <c r="E502" s="2">
        <f t="shared" si="39"/>
        <v>2.1101280570878397E-2</v>
      </c>
      <c r="F502" s="2">
        <f t="shared" si="38"/>
        <v>0.36558098666980304</v>
      </c>
      <c r="G502" s="2">
        <f t="shared" si="35"/>
        <v>0.36558098666980304</v>
      </c>
    </row>
    <row r="503" spans="1:7" x14ac:dyDescent="0.25">
      <c r="A503" s="18">
        <v>10</v>
      </c>
      <c r="B503" s="2">
        <v>3.024E-2</v>
      </c>
      <c r="C503" s="2">
        <f t="shared" si="36"/>
        <v>-6.048</v>
      </c>
      <c r="D503" s="2">
        <f t="shared" si="37"/>
        <v>-1.1307721259336141E-2</v>
      </c>
      <c r="E503" s="2">
        <f t="shared" si="39"/>
        <v>2.5010314208073325E-2</v>
      </c>
      <c r="F503" s="2">
        <f t="shared" si="38"/>
        <v>0.30899163778007677</v>
      </c>
      <c r="G503" s="2">
        <f t="shared" si="35"/>
        <v>0.30899163778007677</v>
      </c>
    </row>
    <row r="504" spans="1:7" x14ac:dyDescent="0.25">
      <c r="A504" s="18">
        <v>10.02</v>
      </c>
      <c r="B504" s="2">
        <v>5.2429999999999997E-2</v>
      </c>
      <c r="C504" s="2">
        <f t="shared" si="36"/>
        <v>-10.485999999999999</v>
      </c>
      <c r="D504" s="2">
        <f t="shared" si="37"/>
        <v>-1.0037479641233256E-2</v>
      </c>
      <c r="E504" s="2">
        <f t="shared" si="39"/>
        <v>2.8666124074771353E-2</v>
      </c>
      <c r="F504" s="2">
        <f t="shared" si="38"/>
        <v>0.24869438923699314</v>
      </c>
      <c r="G504" s="2">
        <f t="shared" si="35"/>
        <v>0.24869438923699314</v>
      </c>
    </row>
    <row r="505" spans="1:7" x14ac:dyDescent="0.25">
      <c r="A505" s="18">
        <v>10.039999999999999</v>
      </c>
      <c r="B505" s="2">
        <v>2.351E-2</v>
      </c>
      <c r="C505" s="2">
        <f t="shared" si="36"/>
        <v>-4.702</v>
      </c>
      <c r="D505" s="2">
        <f t="shared" si="37"/>
        <v>-8.6677602674355737E-3</v>
      </c>
      <c r="E505" s="2">
        <f t="shared" si="39"/>
        <v>3.1756040452572125E-2</v>
      </c>
      <c r="F505" s="2">
        <f t="shared" si="38"/>
        <v>0.23652280802306844</v>
      </c>
      <c r="G505" s="2">
        <f t="shared" si="35"/>
        <v>0.23652280802306844</v>
      </c>
    </row>
    <row r="506" spans="1:7" x14ac:dyDescent="0.25">
      <c r="A506" s="18">
        <v>10.06</v>
      </c>
      <c r="B506" s="2">
        <v>-5.4099999999999999E-3</v>
      </c>
      <c r="C506" s="2">
        <f t="shared" si="36"/>
        <v>1.0820000000000001</v>
      </c>
      <c r="D506" s="2">
        <f t="shared" si="37"/>
        <v>-7.2034317704286642E-3</v>
      </c>
      <c r="E506" s="2">
        <f t="shared" si="39"/>
        <v>3.4242984344942051E-2</v>
      </c>
      <c r="F506" s="2">
        <f t="shared" si="38"/>
        <v>0.22151295311285826</v>
      </c>
      <c r="G506" s="2">
        <f t="shared" si="35"/>
        <v>0.22151295311285826</v>
      </c>
    </row>
    <row r="507" spans="1:7" x14ac:dyDescent="0.25">
      <c r="A507" s="18">
        <v>10.08</v>
      </c>
      <c r="B507" s="2">
        <v>-3.4320000000000003E-2</v>
      </c>
      <c r="C507" s="2">
        <f t="shared" si="36"/>
        <v>6.8640000000000008</v>
      </c>
      <c r="D507" s="2">
        <f t="shared" si="37"/>
        <v>-5.6504980921766113E-3</v>
      </c>
      <c r="E507" s="2">
        <f t="shared" si="39"/>
        <v>3.6608212425172738E-2</v>
      </c>
      <c r="F507" s="2">
        <f t="shared" si="38"/>
        <v>0.20383494276529546</v>
      </c>
      <c r="G507" s="2">
        <f t="shared" si="35"/>
        <v>0.20383494276529546</v>
      </c>
    </row>
    <row r="508" spans="1:7" x14ac:dyDescent="0.25">
      <c r="A508" s="18">
        <v>10.1</v>
      </c>
      <c r="B508" s="2">
        <v>-6.3240000000000005E-2</v>
      </c>
      <c r="C508" s="2">
        <f t="shared" si="36"/>
        <v>12.648000000000001</v>
      </c>
      <c r="D508" s="2">
        <f t="shared" si="37"/>
        <v>-4.0160304368184402E-3</v>
      </c>
      <c r="E508" s="2">
        <f t="shared" si="39"/>
        <v>3.882334195630132E-2</v>
      </c>
      <c r="F508" s="2">
        <f t="shared" si="38"/>
        <v>0.18372091310455188</v>
      </c>
      <c r="G508" s="2">
        <f t="shared" si="35"/>
        <v>0.18372091310455188</v>
      </c>
    </row>
    <row r="509" spans="1:7" x14ac:dyDescent="0.25">
      <c r="A509" s="18">
        <v>10.119999999999999</v>
      </c>
      <c r="B509" s="2">
        <v>-9.2149999999999996E-2</v>
      </c>
      <c r="C509" s="2">
        <f t="shared" si="36"/>
        <v>18.43</v>
      </c>
      <c r="D509" s="2">
        <f t="shared" si="37"/>
        <v>-2.3080744162184484E-3</v>
      </c>
      <c r="E509" s="2">
        <f t="shared" si="39"/>
        <v>4.0861691383954277E-2</v>
      </c>
      <c r="F509" s="2">
        <f t="shared" si="38"/>
        <v>0.16139223248655349</v>
      </c>
      <c r="G509" s="2">
        <f t="shared" si="35"/>
        <v>0.16139223248655349</v>
      </c>
    </row>
    <row r="510" spans="1:7" x14ac:dyDescent="0.25">
      <c r="A510" s="18">
        <v>10.14</v>
      </c>
      <c r="B510" s="2">
        <v>-0.12107</v>
      </c>
      <c r="C510" s="2">
        <f t="shared" si="36"/>
        <v>24.213999999999999</v>
      </c>
      <c r="D510" s="2">
        <f t="shared" si="37"/>
        <v>-5.3556150262383518E-4</v>
      </c>
      <c r="E510" s="2">
        <f t="shared" si="39"/>
        <v>4.2698900514999798E-2</v>
      </c>
      <c r="F510" s="2">
        <f t="shared" si="38"/>
        <v>0.1371368450787144</v>
      </c>
      <c r="G510" s="2">
        <f t="shared" si="35"/>
        <v>0.1371368450787144</v>
      </c>
    </row>
    <row r="511" spans="1:7" x14ac:dyDescent="0.25">
      <c r="A511" s="18">
        <v>10.16</v>
      </c>
      <c r="B511" s="2">
        <v>-8.4500000000000006E-2</v>
      </c>
      <c r="C511" s="2">
        <f t="shared" si="36"/>
        <v>16.900000000000002</v>
      </c>
      <c r="D511" s="2">
        <f t="shared" si="37"/>
        <v>1.2918061490022638E-3</v>
      </c>
      <c r="E511" s="2">
        <f t="shared" si="39"/>
        <v>4.4312822839865325E-2</v>
      </c>
      <c r="F511" s="2">
        <f t="shared" si="38"/>
        <v>4.5745815529932891E-2</v>
      </c>
      <c r="G511" s="2">
        <f t="shared" si="35"/>
        <v>4.5745815529932891E-2</v>
      </c>
    </row>
    <row r="512" spans="1:7" x14ac:dyDescent="0.25">
      <c r="A512" s="18">
        <v>10.18</v>
      </c>
      <c r="B512" s="2">
        <v>-4.7940000000000003E-2</v>
      </c>
      <c r="C512" s="2">
        <f t="shared" si="36"/>
        <v>9.588000000000001</v>
      </c>
      <c r="D512" s="2">
        <f t="shared" si="37"/>
        <v>3.1374721268403361E-3</v>
      </c>
      <c r="E512" s="2">
        <f t="shared" si="39"/>
        <v>4.5684191290652473E-2</v>
      </c>
      <c r="F512" s="2">
        <f t="shared" si="38"/>
        <v>-4.6184163805208442E-2</v>
      </c>
      <c r="G512" s="2">
        <f t="shared" si="35"/>
        <v>-4.6184163805208442E-2</v>
      </c>
    </row>
    <row r="513" spans="1:7" x14ac:dyDescent="0.25">
      <c r="A513" s="18">
        <v>10.199999999999999</v>
      </c>
      <c r="B513" s="2">
        <v>-1.137E-2</v>
      </c>
      <c r="C513" s="2">
        <f t="shared" si="36"/>
        <v>2.274</v>
      </c>
      <c r="D513" s="2">
        <f t="shared" si="37"/>
        <v>4.9646644391563247E-3</v>
      </c>
      <c r="E513" s="2">
        <f t="shared" si="39"/>
        <v>4.6141649445951803E-2</v>
      </c>
      <c r="F513" s="2">
        <f t="shared" si="38"/>
        <v>-0.13756993317468827</v>
      </c>
      <c r="G513" s="2">
        <f t="shared" si="35"/>
        <v>-0.13756993317468827</v>
      </c>
    </row>
    <row r="514" spans="1:7" x14ac:dyDescent="0.25">
      <c r="A514" s="18">
        <v>10.220000000000001</v>
      </c>
      <c r="B514" s="2">
        <v>2.52E-2</v>
      </c>
      <c r="C514" s="2">
        <f t="shared" si="36"/>
        <v>-5.04</v>
      </c>
      <c r="D514" s="2">
        <f t="shared" si="37"/>
        <v>6.7368287782024385E-3</v>
      </c>
      <c r="E514" s="2">
        <f t="shared" si="39"/>
        <v>4.5679807807899715E-2</v>
      </c>
      <c r="F514" s="2">
        <f t="shared" si="38"/>
        <v>-0.2273048633460702</v>
      </c>
      <c r="G514" s="2">
        <f t="shared" ref="G514:G577" si="40">HLOOKUP($Y$3,$B$1:$F$1562,ROW(),0)</f>
        <v>-0.2273048633460702</v>
      </c>
    </row>
    <row r="515" spans="1:7" x14ac:dyDescent="0.25">
      <c r="A515" s="18">
        <v>10.24</v>
      </c>
      <c r="B515" s="2">
        <v>6.1769999999999999E-2</v>
      </c>
      <c r="C515" s="2">
        <f t="shared" ref="C515:C578" si="41">-$M$4*B515</f>
        <v>-12.353999999999999</v>
      </c>
      <c r="D515" s="2">
        <f t="shared" si="37"/>
        <v>8.4180711719101242E-3</v>
      </c>
      <c r="E515" s="2">
        <f t="shared" si="39"/>
        <v>4.4304108476152841E-2</v>
      </c>
      <c r="F515" s="2">
        <f t="shared" si="38"/>
        <v>-0.3143121351573</v>
      </c>
      <c r="G515" s="2">
        <f t="shared" si="40"/>
        <v>-0.3143121351573</v>
      </c>
    </row>
    <row r="516" spans="1:7" x14ac:dyDescent="0.25">
      <c r="A516" s="18">
        <v>10.26</v>
      </c>
      <c r="B516" s="2">
        <v>4.0280000000000003E-2</v>
      </c>
      <c r="C516" s="2">
        <f t="shared" si="41"/>
        <v>-8.0560000000000009</v>
      </c>
      <c r="D516" s="2">
        <f t="shared" ref="D516:D579" si="42">(C515-($Q$6*D515)-($Q$7*D514))/$Q$5</f>
        <v>9.9735887115548899E-3</v>
      </c>
      <c r="E516" s="2">
        <f t="shared" si="39"/>
        <v>4.2031059842692141E-2</v>
      </c>
      <c r="F516" s="2">
        <f t="shared" ref="F516:F579" si="43">(D515-2*D516+D517)/($A$4^2)</f>
        <v>-0.33948766134664615</v>
      </c>
      <c r="G516" s="2">
        <f t="shared" si="40"/>
        <v>-0.33948766134664615</v>
      </c>
    </row>
    <row r="517" spans="1:7" x14ac:dyDescent="0.25">
      <c r="A517" s="18">
        <v>10.28</v>
      </c>
      <c r="B517" s="2">
        <v>1.8800000000000001E-2</v>
      </c>
      <c r="C517" s="2">
        <f t="shared" si="41"/>
        <v>-3.7600000000000002</v>
      </c>
      <c r="D517" s="2">
        <f t="shared" si="42"/>
        <v>1.1393311186660997E-2</v>
      </c>
      <c r="E517" s="2">
        <f t="shared" ref="E517:E580" si="44">(D516-D515)/(2*$A$4)</f>
        <v>3.8887938491119142E-2</v>
      </c>
      <c r="F517" s="2">
        <f t="shared" si="43"/>
        <v>-0.36059933559983398</v>
      </c>
      <c r="G517" s="2">
        <f t="shared" si="40"/>
        <v>-0.36059933559983398</v>
      </c>
    </row>
    <row r="518" spans="1:7" x14ac:dyDescent="0.25">
      <c r="A518" s="18">
        <v>10.3</v>
      </c>
      <c r="B518" s="2">
        <v>4.4560000000000002E-2</v>
      </c>
      <c r="C518" s="2">
        <f t="shared" si="41"/>
        <v>-8.9120000000000008</v>
      </c>
      <c r="D518" s="2">
        <f t="shared" si="42"/>
        <v>1.2668793927527171E-2</v>
      </c>
      <c r="E518" s="2">
        <f t="shared" si="44"/>
        <v>3.5493061877652679E-2</v>
      </c>
      <c r="F518" s="2">
        <f t="shared" si="43"/>
        <v>-0.42462381782581299</v>
      </c>
      <c r="G518" s="2">
        <f t="shared" si="40"/>
        <v>-0.42462381782581299</v>
      </c>
    </row>
    <row r="519" spans="1:7" x14ac:dyDescent="0.25">
      <c r="A519" s="18">
        <v>10.32</v>
      </c>
      <c r="B519" s="2">
        <v>7.0319999999999994E-2</v>
      </c>
      <c r="C519" s="2">
        <f t="shared" si="41"/>
        <v>-14.063999999999998</v>
      </c>
      <c r="D519" s="2">
        <f t="shared" si="42"/>
        <v>1.3774427141263019E-2</v>
      </c>
      <c r="E519" s="2">
        <f t="shared" si="44"/>
        <v>3.1887068521654342E-2</v>
      </c>
      <c r="F519" s="2">
        <f t="shared" si="43"/>
        <v>-0.48355281423789576</v>
      </c>
      <c r="G519" s="2">
        <f t="shared" si="40"/>
        <v>-0.48355281423789576</v>
      </c>
    </row>
    <row r="520" spans="1:7" x14ac:dyDescent="0.25">
      <c r="A520" s="18">
        <v>10.34</v>
      </c>
      <c r="B520" s="2">
        <v>9.6079999999999999E-2</v>
      </c>
      <c r="C520" s="2">
        <f t="shared" si="41"/>
        <v>-19.216000000000001</v>
      </c>
      <c r="D520" s="2">
        <f t="shared" si="42"/>
        <v>1.4686639229303709E-2</v>
      </c>
      <c r="E520" s="2">
        <f t="shared" si="44"/>
        <v>2.7640830343396209E-2</v>
      </c>
      <c r="F520" s="2">
        <f t="shared" si="43"/>
        <v>-0.53667917687911204</v>
      </c>
      <c r="G520" s="2">
        <f t="shared" si="40"/>
        <v>-0.53667917687911204</v>
      </c>
    </row>
    <row r="521" spans="1:7" x14ac:dyDescent="0.25">
      <c r="A521" s="18">
        <v>10.36</v>
      </c>
      <c r="B521" s="2">
        <v>0.12184</v>
      </c>
      <c r="C521" s="2">
        <f t="shared" si="41"/>
        <v>-24.368000000000002</v>
      </c>
      <c r="D521" s="2">
        <f t="shared" si="42"/>
        <v>1.5384179646592755E-2</v>
      </c>
      <c r="E521" s="2">
        <f t="shared" si="44"/>
        <v>2.2805302201017251E-2</v>
      </c>
      <c r="F521" s="2">
        <f t="shared" si="43"/>
        <v>-0.58336538939779059</v>
      </c>
      <c r="G521" s="2">
        <f t="shared" si="40"/>
        <v>-0.58336538939779059</v>
      </c>
    </row>
    <row r="522" spans="1:7" x14ac:dyDescent="0.25">
      <c r="A522" s="18">
        <v>10.38</v>
      </c>
      <c r="B522" s="2">
        <v>6.3500000000000001E-2</v>
      </c>
      <c r="C522" s="2">
        <f t="shared" si="41"/>
        <v>-12.7</v>
      </c>
      <c r="D522" s="2">
        <f t="shared" si="42"/>
        <v>1.5848373908122684E-2</v>
      </c>
      <c r="E522" s="2">
        <f t="shared" si="44"/>
        <v>1.7438510432226131E-2</v>
      </c>
      <c r="F522" s="2">
        <f t="shared" si="43"/>
        <v>-0.53895121724368411</v>
      </c>
      <c r="G522" s="2">
        <f t="shared" si="40"/>
        <v>-0.53895121724368411</v>
      </c>
    </row>
    <row r="523" spans="1:7" x14ac:dyDescent="0.25">
      <c r="A523" s="18">
        <v>10.4</v>
      </c>
      <c r="B523" s="2">
        <v>5.1700000000000001E-3</v>
      </c>
      <c r="C523" s="2">
        <f t="shared" si="41"/>
        <v>-1.034</v>
      </c>
      <c r="D523" s="2">
        <f t="shared" si="42"/>
        <v>1.6096987682755137E-2</v>
      </c>
      <c r="E523" s="2">
        <f t="shared" si="44"/>
        <v>1.1604856538248226E-2</v>
      </c>
      <c r="F523" s="2">
        <f t="shared" si="43"/>
        <v>-0.48807963048264935</v>
      </c>
      <c r="G523" s="2">
        <f t="shared" si="40"/>
        <v>-0.48807963048264935</v>
      </c>
    </row>
    <row r="524" spans="1:7" x14ac:dyDescent="0.25">
      <c r="A524" s="18">
        <v>10.42</v>
      </c>
      <c r="B524" s="2">
        <v>-5.3170000000000002E-2</v>
      </c>
      <c r="C524" s="2">
        <f t="shared" si="41"/>
        <v>10.634</v>
      </c>
      <c r="D524" s="2">
        <f t="shared" si="42"/>
        <v>1.6150369605194531E-2</v>
      </c>
      <c r="E524" s="2">
        <f t="shared" si="44"/>
        <v>6.2153443658113407E-3</v>
      </c>
      <c r="F524" s="2">
        <f t="shared" si="43"/>
        <v>-0.43134108815584371</v>
      </c>
      <c r="G524" s="2">
        <f t="shared" si="40"/>
        <v>-0.43134108815584371</v>
      </c>
    </row>
    <row r="525" spans="1:7" x14ac:dyDescent="0.25">
      <c r="A525" s="18">
        <v>10.44</v>
      </c>
      <c r="B525" s="2">
        <v>-3.124E-2</v>
      </c>
      <c r="C525" s="2">
        <f t="shared" si="41"/>
        <v>6.2480000000000002</v>
      </c>
      <c r="D525" s="2">
        <f t="shared" si="42"/>
        <v>1.6031215092371588E-2</v>
      </c>
      <c r="E525" s="2">
        <f t="shared" si="44"/>
        <v>1.334548060984847E-3</v>
      </c>
      <c r="F525" s="2">
        <f t="shared" si="43"/>
        <v>-0.44969645277115333</v>
      </c>
      <c r="G525" s="2">
        <f t="shared" si="40"/>
        <v>-0.44969645277115333</v>
      </c>
    </row>
    <row r="526" spans="1:7" x14ac:dyDescent="0.25">
      <c r="A526" s="18">
        <v>10.46</v>
      </c>
      <c r="B526" s="2">
        <v>-9.2999999999999992E-3</v>
      </c>
      <c r="C526" s="2">
        <f t="shared" si="41"/>
        <v>1.8599999999999999</v>
      </c>
      <c r="D526" s="2">
        <f t="shared" si="42"/>
        <v>1.5732181998440183E-2</v>
      </c>
      <c r="E526" s="2">
        <f t="shared" si="44"/>
        <v>-2.9788628205735905E-3</v>
      </c>
      <c r="F526" s="2">
        <f t="shared" si="43"/>
        <v>-0.46266545995320235</v>
      </c>
      <c r="G526" s="2">
        <f t="shared" si="40"/>
        <v>-0.46266545995320235</v>
      </c>
    </row>
    <row r="527" spans="1:7" x14ac:dyDescent="0.25">
      <c r="A527" s="18">
        <v>10.48</v>
      </c>
      <c r="B527" s="2">
        <v>1.2630000000000001E-2</v>
      </c>
      <c r="C527" s="2">
        <f t="shared" si="41"/>
        <v>-2.5260000000000002</v>
      </c>
      <c r="D527" s="2">
        <f t="shared" si="42"/>
        <v>1.5248082720527497E-2</v>
      </c>
      <c r="E527" s="2">
        <f t="shared" si="44"/>
        <v>-7.4758273482851238E-3</v>
      </c>
      <c r="F527" s="2">
        <f t="shared" si="43"/>
        <v>-0.4700724816158281</v>
      </c>
      <c r="G527" s="2">
        <f t="shared" si="40"/>
        <v>-0.4700724816158281</v>
      </c>
    </row>
    <row r="528" spans="1:7" x14ac:dyDescent="0.25">
      <c r="A528" s="18">
        <v>10.5</v>
      </c>
      <c r="B528" s="2">
        <v>3.4569999999999997E-2</v>
      </c>
      <c r="C528" s="2">
        <f t="shared" si="41"/>
        <v>-6.9139999999999997</v>
      </c>
      <c r="D528" s="2">
        <f t="shared" si="42"/>
        <v>1.4575954449968479E-2</v>
      </c>
      <c r="E528" s="2">
        <f t="shared" si="44"/>
        <v>-1.2102481947817148E-2</v>
      </c>
      <c r="F528" s="2">
        <f t="shared" si="43"/>
        <v>-0.47184863349905481</v>
      </c>
      <c r="G528" s="2">
        <f t="shared" si="40"/>
        <v>-0.47184863349905481</v>
      </c>
    </row>
    <row r="529" spans="1:7" x14ac:dyDescent="0.25">
      <c r="A529" s="18">
        <v>10.52</v>
      </c>
      <c r="B529" s="2">
        <v>3.2829999999999998E-2</v>
      </c>
      <c r="C529" s="2">
        <f t="shared" si="41"/>
        <v>-6.5659999999999998</v>
      </c>
      <c r="D529" s="2">
        <f t="shared" si="42"/>
        <v>1.371508672600984E-2</v>
      </c>
      <c r="E529" s="2">
        <f t="shared" si="44"/>
        <v>-1.6803206763975429E-2</v>
      </c>
      <c r="F529" s="2">
        <f t="shared" si="43"/>
        <v>-0.44428260178029727</v>
      </c>
      <c r="G529" s="2">
        <f t="shared" si="40"/>
        <v>-0.44428260178029727</v>
      </c>
    </row>
    <row r="530" spans="1:7" x14ac:dyDescent="0.25">
      <c r="A530" s="18">
        <v>10.54</v>
      </c>
      <c r="B530" s="2">
        <v>3.109E-2</v>
      </c>
      <c r="C530" s="2">
        <f t="shared" si="41"/>
        <v>-6.218</v>
      </c>
      <c r="D530" s="2">
        <f t="shared" si="42"/>
        <v>1.2676505961339082E-2</v>
      </c>
      <c r="E530" s="2">
        <f t="shared" si="44"/>
        <v>-2.1521693098965976E-2</v>
      </c>
      <c r="F530" s="2">
        <f t="shared" si="43"/>
        <v>-0.41138517884017378</v>
      </c>
      <c r="G530" s="2">
        <f t="shared" si="40"/>
        <v>-0.41138517884017378</v>
      </c>
    </row>
    <row r="531" spans="1:7" x14ac:dyDescent="0.25">
      <c r="A531" s="18">
        <v>10.56</v>
      </c>
      <c r="B531" s="2">
        <v>2.9350000000000001E-2</v>
      </c>
      <c r="C531" s="2">
        <f t="shared" si="41"/>
        <v>-5.87</v>
      </c>
      <c r="D531" s="2">
        <f t="shared" si="42"/>
        <v>1.1473371125132255E-2</v>
      </c>
      <c r="E531" s="2">
        <f t="shared" si="44"/>
        <v>-2.5964519116768951E-2</v>
      </c>
      <c r="F531" s="2">
        <f t="shared" si="43"/>
        <v>-0.37355113375397375</v>
      </c>
      <c r="G531" s="2">
        <f t="shared" si="40"/>
        <v>-0.37355113375397375</v>
      </c>
    </row>
    <row r="532" spans="1:7" x14ac:dyDescent="0.25">
      <c r="A532" s="18">
        <v>10.58</v>
      </c>
      <c r="B532" s="2">
        <v>4.5109999999999997E-2</v>
      </c>
      <c r="C532" s="2">
        <f t="shared" si="41"/>
        <v>-9.0220000000000002</v>
      </c>
      <c r="D532" s="2">
        <f t="shared" si="42"/>
        <v>1.0120815835423838E-2</v>
      </c>
      <c r="E532" s="2">
        <f t="shared" si="44"/>
        <v>-3.0078370905170689E-2</v>
      </c>
      <c r="F532" s="2">
        <f t="shared" si="43"/>
        <v>-0.34873447506271554</v>
      </c>
      <c r="G532" s="2">
        <f t="shared" si="40"/>
        <v>-0.34873447506271554</v>
      </c>
    </row>
    <row r="533" spans="1:7" x14ac:dyDescent="0.25">
      <c r="A533" s="18">
        <v>10.6</v>
      </c>
      <c r="B533" s="2">
        <v>6.087E-2</v>
      </c>
      <c r="C533" s="2">
        <f t="shared" si="41"/>
        <v>-12.173999999999999</v>
      </c>
      <c r="D533" s="2">
        <f t="shared" si="42"/>
        <v>8.6287667556903345E-3</v>
      </c>
      <c r="E533" s="2">
        <f t="shared" si="44"/>
        <v>-3.3813882242710425E-2</v>
      </c>
      <c r="F533" s="2">
        <f t="shared" si="43"/>
        <v>-0.31973300267071214</v>
      </c>
      <c r="G533" s="2">
        <f t="shared" si="40"/>
        <v>-0.31973300267071214</v>
      </c>
    </row>
    <row r="534" spans="1:7" x14ac:dyDescent="0.25">
      <c r="A534" s="18">
        <v>10.62</v>
      </c>
      <c r="B534" s="2">
        <v>7.6630000000000004E-2</v>
      </c>
      <c r="C534" s="2">
        <f t="shared" si="41"/>
        <v>-15.326000000000001</v>
      </c>
      <c r="D534" s="2">
        <f t="shared" si="42"/>
        <v>7.0088244748885463E-3</v>
      </c>
      <c r="E534" s="2">
        <f t="shared" si="44"/>
        <v>-3.7301226993337579E-2</v>
      </c>
      <c r="F534" s="2">
        <f t="shared" si="43"/>
        <v>-0.28689473424665718</v>
      </c>
      <c r="G534" s="2">
        <f t="shared" si="40"/>
        <v>-0.28689473424665718</v>
      </c>
    </row>
    <row r="535" spans="1:7" x14ac:dyDescent="0.25">
      <c r="A535" s="18">
        <v>10.64</v>
      </c>
      <c r="B535" s="2">
        <v>9.239E-2</v>
      </c>
      <c r="C535" s="2">
        <f t="shared" si="41"/>
        <v>-18.478000000000002</v>
      </c>
      <c r="D535" s="2">
        <f t="shared" si="42"/>
        <v>5.2741243003880953E-3</v>
      </c>
      <c r="E535" s="2">
        <f t="shared" si="44"/>
        <v>-4.0498557020044706E-2</v>
      </c>
      <c r="F535" s="2">
        <f t="shared" si="43"/>
        <v>-0.25061372901164208</v>
      </c>
      <c r="G535" s="2">
        <f t="shared" si="40"/>
        <v>-0.25061372901164208</v>
      </c>
    </row>
    <row r="536" spans="1:7" x14ac:dyDescent="0.25">
      <c r="A536" s="18">
        <v>10.66</v>
      </c>
      <c r="B536" s="2">
        <v>5.7419999999999999E-2</v>
      </c>
      <c r="C536" s="2">
        <f t="shared" si="41"/>
        <v>-11.484</v>
      </c>
      <c r="D536" s="2">
        <f t="shared" si="42"/>
        <v>3.4391786342829874E-3</v>
      </c>
      <c r="E536" s="2">
        <f t="shared" si="44"/>
        <v>-4.3367504362511272E-2</v>
      </c>
      <c r="F536" s="2">
        <f t="shared" si="43"/>
        <v>-0.16059535902848968</v>
      </c>
      <c r="G536" s="2">
        <f t="shared" si="40"/>
        <v>-0.16059535902848968</v>
      </c>
    </row>
    <row r="537" spans="1:7" x14ac:dyDescent="0.25">
      <c r="A537" s="18">
        <v>10.68</v>
      </c>
      <c r="B537" s="2">
        <v>2.2450000000000001E-2</v>
      </c>
      <c r="C537" s="2">
        <f t="shared" si="41"/>
        <v>-4.49</v>
      </c>
      <c r="D537" s="2">
        <f t="shared" si="42"/>
        <v>1.5399948245664837E-3</v>
      </c>
      <c r="E537" s="2">
        <f t="shared" si="44"/>
        <v>-4.5873641652627695E-2</v>
      </c>
      <c r="F537" s="2">
        <f t="shared" si="43"/>
        <v>-6.8649844736994536E-2</v>
      </c>
      <c r="G537" s="2">
        <f t="shared" si="40"/>
        <v>-6.8649844736994536E-2</v>
      </c>
    </row>
    <row r="538" spans="1:7" x14ac:dyDescent="0.25">
      <c r="A538" s="18">
        <v>10.7</v>
      </c>
      <c r="B538" s="2">
        <v>-1.252E-2</v>
      </c>
      <c r="C538" s="2">
        <f t="shared" si="41"/>
        <v>2.504</v>
      </c>
      <c r="D538" s="2">
        <f t="shared" si="42"/>
        <v>-3.8664892304481784E-4</v>
      </c>
      <c r="E538" s="2">
        <f t="shared" si="44"/>
        <v>-4.7479595242912592E-2</v>
      </c>
      <c r="F538" s="2">
        <f t="shared" si="43"/>
        <v>2.4119467691344598E-2</v>
      </c>
      <c r="G538" s="2">
        <f t="shared" si="40"/>
        <v>2.4119467691344598E-2</v>
      </c>
    </row>
    <row r="539" spans="1:7" x14ac:dyDescent="0.25">
      <c r="A539" s="18">
        <v>10.72</v>
      </c>
      <c r="B539" s="2">
        <v>6.7999999999999996E-3</v>
      </c>
      <c r="C539" s="2">
        <f t="shared" si="41"/>
        <v>-1.3599999999999999</v>
      </c>
      <c r="D539" s="2">
        <f t="shared" si="42"/>
        <v>-2.3036448835795816E-3</v>
      </c>
      <c r="E539" s="2">
        <f t="shared" si="44"/>
        <v>-4.8166093690282533E-2</v>
      </c>
      <c r="F539" s="2">
        <f t="shared" si="43"/>
        <v>6.2309346507388293E-2</v>
      </c>
      <c r="G539" s="2">
        <f t="shared" si="40"/>
        <v>6.2309346507388293E-2</v>
      </c>
    </row>
    <row r="540" spans="1:7" x14ac:dyDescent="0.25">
      <c r="A540" s="18">
        <v>10.74</v>
      </c>
      <c r="B540" s="2">
        <v>2.6110000000000001E-2</v>
      </c>
      <c r="C540" s="2">
        <f t="shared" si="41"/>
        <v>-5.2220000000000004</v>
      </c>
      <c r="D540" s="2">
        <f t="shared" si="42"/>
        <v>-4.1957171055113903E-3</v>
      </c>
      <c r="E540" s="2">
        <f t="shared" si="44"/>
        <v>-4.7924899013369091E-2</v>
      </c>
      <c r="F540" s="2">
        <f t="shared" si="43"/>
        <v>9.9761513165344706E-2</v>
      </c>
      <c r="G540" s="2">
        <f t="shared" si="40"/>
        <v>9.9761513165344706E-2</v>
      </c>
    </row>
    <row r="541" spans="1:7" x14ac:dyDescent="0.25">
      <c r="A541" s="18">
        <v>10.76</v>
      </c>
      <c r="B541" s="2">
        <v>4.5429999999999998E-2</v>
      </c>
      <c r="C541" s="2">
        <f t="shared" si="41"/>
        <v>-9.0860000000000003</v>
      </c>
      <c r="D541" s="2">
        <f t="shared" si="42"/>
        <v>-6.0478847221770611E-3</v>
      </c>
      <c r="E541" s="2">
        <f t="shared" si="44"/>
        <v>-4.7301805548295217E-2</v>
      </c>
      <c r="F541" s="2">
        <f t="shared" si="43"/>
        <v>0.1360065416653117</v>
      </c>
      <c r="G541" s="2">
        <f t="shared" si="40"/>
        <v>0.1360065416653117</v>
      </c>
    </row>
    <row r="542" spans="1:7" x14ac:dyDescent="0.25">
      <c r="A542" s="18">
        <v>10.78</v>
      </c>
      <c r="B542" s="2">
        <v>1.5709999999999998E-2</v>
      </c>
      <c r="C542" s="2">
        <f t="shared" si="41"/>
        <v>-3.1419999999999995</v>
      </c>
      <c r="D542" s="2">
        <f t="shared" si="42"/>
        <v>-7.8456497221766081E-3</v>
      </c>
      <c r="E542" s="2">
        <f t="shared" si="44"/>
        <v>-4.6304190416641772E-2</v>
      </c>
      <c r="F542" s="2">
        <f t="shared" si="43"/>
        <v>0.21965949166530185</v>
      </c>
      <c r="G542" s="2">
        <f t="shared" si="40"/>
        <v>0.21965949166530185</v>
      </c>
    </row>
    <row r="543" spans="1:7" x14ac:dyDescent="0.25">
      <c r="A543" s="18">
        <v>10.8</v>
      </c>
      <c r="B543" s="2">
        <v>-1.4019999999999999E-2</v>
      </c>
      <c r="C543" s="2">
        <f t="shared" si="41"/>
        <v>2.8039999999999998</v>
      </c>
      <c r="D543" s="2">
        <f t="shared" si="42"/>
        <v>-9.5555509255100344E-3</v>
      </c>
      <c r="E543" s="2">
        <f t="shared" si="44"/>
        <v>-4.4944124999988677E-2</v>
      </c>
      <c r="F543" s="2">
        <f t="shared" si="43"/>
        <v>0.30068652776529725</v>
      </c>
      <c r="G543" s="2">
        <f t="shared" si="40"/>
        <v>0.30068652776529725</v>
      </c>
    </row>
    <row r="544" spans="1:7" x14ac:dyDescent="0.25">
      <c r="A544" s="18">
        <v>10.82</v>
      </c>
      <c r="B544" s="2">
        <v>-4.3740000000000001E-2</v>
      </c>
      <c r="C544" s="2">
        <f t="shared" si="41"/>
        <v>8.7480000000000011</v>
      </c>
      <c r="D544" s="2">
        <f t="shared" si="42"/>
        <v>-1.1145177517737342E-2</v>
      </c>
      <c r="E544" s="2">
        <f t="shared" si="44"/>
        <v>-4.2747530083335657E-2</v>
      </c>
      <c r="F544" s="2">
        <f t="shared" si="43"/>
        <v>0.37809532553212222</v>
      </c>
      <c r="G544" s="2">
        <f t="shared" si="40"/>
        <v>0.37809532553212222</v>
      </c>
    </row>
    <row r="545" spans="1:7" x14ac:dyDescent="0.25">
      <c r="A545" s="18">
        <v>10.84</v>
      </c>
      <c r="B545" s="2">
        <v>-7.3469999999999994E-2</v>
      </c>
      <c r="C545" s="2">
        <f t="shared" si="41"/>
        <v>14.693999999999999</v>
      </c>
      <c r="D545" s="2">
        <f t="shared" si="42"/>
        <v>-1.25835659797518E-2</v>
      </c>
      <c r="E545" s="2">
        <f t="shared" si="44"/>
        <v>-3.9740664805682682E-2</v>
      </c>
      <c r="F545" s="2">
        <f t="shared" si="43"/>
        <v>0.45097697939255449</v>
      </c>
      <c r="G545" s="2">
        <f t="shared" si="40"/>
        <v>0.45097697939255449</v>
      </c>
    </row>
    <row r="546" spans="1:7" x14ac:dyDescent="0.25">
      <c r="A546" s="18">
        <v>10.86</v>
      </c>
      <c r="B546" s="2">
        <v>-3.9899999999999998E-2</v>
      </c>
      <c r="C546" s="2">
        <f t="shared" si="41"/>
        <v>7.9799999999999995</v>
      </c>
      <c r="D546" s="2">
        <f t="shared" si="42"/>
        <v>-1.3841563650009237E-2</v>
      </c>
      <c r="E546" s="2">
        <f t="shared" si="44"/>
        <v>-3.5959711550361463E-2</v>
      </c>
      <c r="F546" s="2">
        <f t="shared" si="43"/>
        <v>0.45514690950027198</v>
      </c>
      <c r="G546" s="2">
        <f t="shared" si="40"/>
        <v>0.45514690950027198</v>
      </c>
    </row>
    <row r="547" spans="1:7" x14ac:dyDescent="0.25">
      <c r="A547" s="18">
        <v>10.88</v>
      </c>
      <c r="B547" s="2">
        <v>-6.3299999999999997E-3</v>
      </c>
      <c r="C547" s="2">
        <f t="shared" si="41"/>
        <v>1.266</v>
      </c>
      <c r="D547" s="2">
        <f t="shared" si="42"/>
        <v>-1.4917502556466565E-2</v>
      </c>
      <c r="E547" s="2">
        <f t="shared" si="44"/>
        <v>-3.1449941756435916E-2</v>
      </c>
      <c r="F547" s="2">
        <f t="shared" si="43"/>
        <v>0.45385507669399788</v>
      </c>
      <c r="G547" s="2">
        <f t="shared" si="40"/>
        <v>0.45385507669399788</v>
      </c>
    </row>
    <row r="548" spans="1:7" x14ac:dyDescent="0.25">
      <c r="A548" s="18">
        <v>10.9</v>
      </c>
      <c r="B548" s="2">
        <v>2.724E-2</v>
      </c>
      <c r="C548" s="2">
        <f t="shared" si="41"/>
        <v>-5.4480000000000004</v>
      </c>
      <c r="D548" s="2">
        <f t="shared" si="42"/>
        <v>-1.5811899432246292E-2</v>
      </c>
      <c r="E548" s="2">
        <f t="shared" si="44"/>
        <v>-2.6898472661433196E-2</v>
      </c>
      <c r="F548" s="2">
        <f t="shared" si="43"/>
        <v>0.44711698296738367</v>
      </c>
      <c r="G548" s="2">
        <f t="shared" si="40"/>
        <v>0.44711698296738367</v>
      </c>
    </row>
    <row r="549" spans="1:7" x14ac:dyDescent="0.25">
      <c r="A549" s="18">
        <v>10.92</v>
      </c>
      <c r="B549" s="2">
        <v>6.08E-2</v>
      </c>
      <c r="C549" s="2">
        <f t="shared" si="41"/>
        <v>-12.16</v>
      </c>
      <c r="D549" s="2">
        <f t="shared" si="42"/>
        <v>-1.6527449514839063E-2</v>
      </c>
      <c r="E549" s="2">
        <f t="shared" si="44"/>
        <v>-2.2359921894493172E-2</v>
      </c>
      <c r="F549" s="2">
        <f t="shared" si="43"/>
        <v>0.43502348544517849</v>
      </c>
      <c r="G549" s="2">
        <f t="shared" si="40"/>
        <v>0.43502348544517849</v>
      </c>
    </row>
    <row r="550" spans="1:7" x14ac:dyDescent="0.25">
      <c r="A550" s="18">
        <v>10.94</v>
      </c>
      <c r="B550" s="2">
        <v>3.669E-2</v>
      </c>
      <c r="C550" s="2">
        <f t="shared" si="41"/>
        <v>-7.3380000000000001</v>
      </c>
      <c r="D550" s="2">
        <f t="shared" si="42"/>
        <v>-1.7068990203253764E-2</v>
      </c>
      <c r="E550" s="2">
        <f t="shared" si="44"/>
        <v>-1.7888752064819293E-2</v>
      </c>
      <c r="F550" s="2">
        <f t="shared" si="43"/>
        <v>0.47537970609762104</v>
      </c>
      <c r="G550" s="2">
        <f t="shared" si="40"/>
        <v>0.47537970609762104</v>
      </c>
    </row>
    <row r="551" spans="1:7" x14ac:dyDescent="0.25">
      <c r="A551" s="18">
        <v>10.96</v>
      </c>
      <c r="B551" s="2">
        <v>1.2579999999999999E-2</v>
      </c>
      <c r="C551" s="2">
        <f t="shared" si="41"/>
        <v>-2.516</v>
      </c>
      <c r="D551" s="2">
        <f t="shared" si="42"/>
        <v>-1.7420379009229416E-2</v>
      </c>
      <c r="E551" s="2">
        <f t="shared" si="44"/>
        <v>-1.3538517210367508E-2</v>
      </c>
      <c r="F551" s="2">
        <f t="shared" si="43"/>
        <v>0.51003137027688661</v>
      </c>
      <c r="G551" s="2">
        <f t="shared" si="40"/>
        <v>0.51003137027688661</v>
      </c>
    </row>
    <row r="552" spans="1:7" x14ac:dyDescent="0.25">
      <c r="A552" s="18">
        <v>10.98</v>
      </c>
      <c r="B552" s="2">
        <v>-1.153E-2</v>
      </c>
      <c r="C552" s="2">
        <f t="shared" si="41"/>
        <v>2.306</v>
      </c>
      <c r="D552" s="2">
        <f t="shared" si="42"/>
        <v>-1.7567755267094313E-2</v>
      </c>
      <c r="E552" s="2">
        <f t="shared" si="44"/>
        <v>-8.7847201493912973E-3</v>
      </c>
      <c r="F552" s="2">
        <f t="shared" si="43"/>
        <v>0.53856265801283454</v>
      </c>
      <c r="G552" s="2">
        <f t="shared" si="40"/>
        <v>0.53856265801283454</v>
      </c>
    </row>
    <row r="553" spans="1:7" x14ac:dyDescent="0.25">
      <c r="A553" s="18">
        <v>11</v>
      </c>
      <c r="B553" s="2">
        <v>-3.5639999999999998E-2</v>
      </c>
      <c r="C553" s="2">
        <f t="shared" si="41"/>
        <v>7.1279999999999992</v>
      </c>
      <c r="D553" s="2">
        <f t="shared" si="42"/>
        <v>-1.7499706461754076E-2</v>
      </c>
      <c r="E553" s="2">
        <f t="shared" si="44"/>
        <v>-3.6844064466224312E-3</v>
      </c>
      <c r="F553" s="2">
        <f t="shared" si="43"/>
        <v>0.56063119385262383</v>
      </c>
      <c r="G553" s="2">
        <f t="shared" si="40"/>
        <v>0.56063119385262383</v>
      </c>
    </row>
    <row r="554" spans="1:7" x14ac:dyDescent="0.25">
      <c r="A554" s="18">
        <v>11.02</v>
      </c>
      <c r="B554" s="2">
        <v>-6.77E-3</v>
      </c>
      <c r="C554" s="2">
        <f t="shared" si="41"/>
        <v>1.3540000000000001</v>
      </c>
      <c r="D554" s="2">
        <f t="shared" si="42"/>
        <v>-1.720740517887279E-2</v>
      </c>
      <c r="E554" s="2">
        <f t="shared" si="44"/>
        <v>1.7012201335059145E-3</v>
      </c>
      <c r="F554" s="2">
        <f t="shared" si="43"/>
        <v>0.52299215536617638</v>
      </c>
      <c r="G554" s="2">
        <f t="shared" si="40"/>
        <v>0.52299215536617638</v>
      </c>
    </row>
    <row r="555" spans="1:7" x14ac:dyDescent="0.25">
      <c r="A555" s="18">
        <v>11.04</v>
      </c>
      <c r="B555" s="2">
        <v>2.2100000000000002E-2</v>
      </c>
      <c r="C555" s="2">
        <f t="shared" si="41"/>
        <v>-4.42</v>
      </c>
      <c r="D555" s="2">
        <f t="shared" si="42"/>
        <v>-1.6705907033845033E-2</v>
      </c>
      <c r="E555" s="2">
        <f t="shared" si="44"/>
        <v>7.3075320720321531E-3</v>
      </c>
      <c r="F555" s="2">
        <f t="shared" si="43"/>
        <v>0.47907721101535061</v>
      </c>
      <c r="G555" s="2">
        <f t="shared" si="40"/>
        <v>0.47907721101535061</v>
      </c>
    </row>
    <row r="556" spans="1:7" x14ac:dyDescent="0.25">
      <c r="A556" s="18">
        <v>11.06</v>
      </c>
      <c r="B556" s="2">
        <v>5.0979999999999998E-2</v>
      </c>
      <c r="C556" s="2">
        <f t="shared" si="41"/>
        <v>-10.196</v>
      </c>
      <c r="D556" s="2">
        <f t="shared" si="42"/>
        <v>-1.6012778004411136E-2</v>
      </c>
      <c r="E556" s="2">
        <f t="shared" si="44"/>
        <v>1.2537453625693917E-2</v>
      </c>
      <c r="F556" s="2">
        <f t="shared" si="43"/>
        <v>0.42940334013233727</v>
      </c>
      <c r="G556" s="2">
        <f t="shared" si="40"/>
        <v>0.42940334013233727</v>
      </c>
    </row>
    <row r="557" spans="1:7" x14ac:dyDescent="0.25">
      <c r="A557" s="18">
        <v>11.08</v>
      </c>
      <c r="B557" s="2">
        <v>7.9850000000000004E-2</v>
      </c>
      <c r="C557" s="2">
        <f t="shared" si="41"/>
        <v>-15.97</v>
      </c>
      <c r="D557" s="2">
        <f t="shared" si="42"/>
        <v>-1.5147887638924305E-2</v>
      </c>
      <c r="E557" s="2">
        <f t="shared" si="44"/>
        <v>1.7328225735847424E-2</v>
      </c>
      <c r="F557" s="2">
        <f t="shared" si="43"/>
        <v>0.37458662916773316</v>
      </c>
      <c r="G557" s="2">
        <f t="shared" si="40"/>
        <v>0.37458662916773316</v>
      </c>
    </row>
    <row r="558" spans="1:7" x14ac:dyDescent="0.25">
      <c r="A558" s="18">
        <v>11.1</v>
      </c>
      <c r="B558" s="2">
        <v>6.9150000000000003E-2</v>
      </c>
      <c r="C558" s="2">
        <f t="shared" si="41"/>
        <v>-13.83</v>
      </c>
      <c r="D558" s="2">
        <f t="shared" si="42"/>
        <v>-1.4133162621770379E-2</v>
      </c>
      <c r="E558" s="2">
        <f t="shared" si="44"/>
        <v>2.1622259137170797E-2</v>
      </c>
      <c r="F558" s="2">
        <f t="shared" si="43"/>
        <v>0.35484487865311204</v>
      </c>
      <c r="G558" s="2">
        <f t="shared" si="40"/>
        <v>0.35484487865311204</v>
      </c>
    </row>
    <row r="559" spans="1:7" x14ac:dyDescent="0.25">
      <c r="A559" s="18">
        <v>11.12</v>
      </c>
      <c r="B559" s="2">
        <v>5.8450000000000002E-2</v>
      </c>
      <c r="C559" s="2">
        <f t="shared" si="41"/>
        <v>-11.690000000000001</v>
      </c>
      <c r="D559" s="2">
        <f t="shared" si="42"/>
        <v>-1.2976499653155209E-2</v>
      </c>
      <c r="E559" s="2">
        <f t="shared" si="44"/>
        <v>2.5368125428848129E-2</v>
      </c>
      <c r="F559" s="2">
        <f t="shared" si="43"/>
        <v>0.33084498959465386</v>
      </c>
      <c r="G559" s="2">
        <f t="shared" si="40"/>
        <v>0.33084498959465386</v>
      </c>
    </row>
    <row r="560" spans="1:7" x14ac:dyDescent="0.25">
      <c r="A560" s="18">
        <v>11.14</v>
      </c>
      <c r="B560" s="2">
        <v>4.7750000000000001E-2</v>
      </c>
      <c r="C560" s="2">
        <f t="shared" si="41"/>
        <v>-9.5500000000000007</v>
      </c>
      <c r="D560" s="2">
        <f t="shared" si="42"/>
        <v>-1.1687498688702178E-2</v>
      </c>
      <c r="E560" s="2">
        <f t="shared" si="44"/>
        <v>2.891657421537925E-2</v>
      </c>
      <c r="F560" s="2">
        <f t="shared" si="43"/>
        <v>0.30287496066106961</v>
      </c>
      <c r="G560" s="2">
        <f t="shared" si="40"/>
        <v>0.30287496066106961</v>
      </c>
    </row>
    <row r="561" spans="1:7" x14ac:dyDescent="0.25">
      <c r="A561" s="18">
        <v>11.16</v>
      </c>
      <c r="B561" s="2">
        <v>3.7060000000000003E-2</v>
      </c>
      <c r="C561" s="2">
        <f t="shared" si="41"/>
        <v>-7.4120000000000008</v>
      </c>
      <c r="D561" s="2">
        <f t="shared" si="42"/>
        <v>-1.0277347739984719E-2</v>
      </c>
      <c r="E561" s="2">
        <f t="shared" si="44"/>
        <v>3.2225024111325787E-2</v>
      </c>
      <c r="F561" s="2">
        <f t="shared" si="43"/>
        <v>0.27126043219953805</v>
      </c>
      <c r="G561" s="2">
        <f t="shared" si="40"/>
        <v>0.27126043219953805</v>
      </c>
    </row>
    <row r="562" spans="1:7" x14ac:dyDescent="0.25">
      <c r="A562" s="18">
        <v>11.18</v>
      </c>
      <c r="B562" s="2">
        <v>2.6360000000000001E-2</v>
      </c>
      <c r="C562" s="2">
        <f t="shared" si="41"/>
        <v>-5.2720000000000002</v>
      </c>
      <c r="D562" s="2">
        <f t="shared" si="42"/>
        <v>-8.7586926183874439E-3</v>
      </c>
      <c r="E562" s="2">
        <f t="shared" si="44"/>
        <v>3.5253773717936483E-2</v>
      </c>
      <c r="F562" s="2">
        <f t="shared" si="43"/>
        <v>0.23640077855161454</v>
      </c>
      <c r="G562" s="2">
        <f t="shared" si="40"/>
        <v>0.23640077855161454</v>
      </c>
    </row>
    <row r="563" spans="1:7" x14ac:dyDescent="0.25">
      <c r="A563" s="18">
        <v>11.2</v>
      </c>
      <c r="B563" s="2">
        <v>5.8220000000000001E-2</v>
      </c>
      <c r="C563" s="2">
        <f t="shared" si="41"/>
        <v>-11.644</v>
      </c>
      <c r="D563" s="2">
        <f t="shared" si="42"/>
        <v>-7.1454771853695235E-3</v>
      </c>
      <c r="E563" s="2">
        <f t="shared" si="44"/>
        <v>3.7966378039931865E-2</v>
      </c>
      <c r="F563" s="2">
        <f t="shared" si="43"/>
        <v>0.15614431556108505</v>
      </c>
      <c r="G563" s="2">
        <f t="shared" si="40"/>
        <v>0.15614431556108505</v>
      </c>
    </row>
    <row r="564" spans="1:7" x14ac:dyDescent="0.25">
      <c r="A564" s="18">
        <v>11.22</v>
      </c>
      <c r="B564" s="2">
        <v>9.0090000000000003E-2</v>
      </c>
      <c r="C564" s="2">
        <f t="shared" si="41"/>
        <v>-18.018000000000001</v>
      </c>
      <c r="D564" s="2">
        <f t="shared" si="42"/>
        <v>-5.469804026127169E-3</v>
      </c>
      <c r="E564" s="2">
        <f t="shared" si="44"/>
        <v>4.0330385825448012E-2</v>
      </c>
      <c r="F564" s="2">
        <f t="shared" si="43"/>
        <v>7.4004120783816879E-2</v>
      </c>
      <c r="G564" s="2">
        <f t="shared" si="40"/>
        <v>7.4004120783816879E-2</v>
      </c>
    </row>
    <row r="565" spans="1:7" x14ac:dyDescent="0.25">
      <c r="A565" s="18">
        <v>11.24</v>
      </c>
      <c r="B565" s="2">
        <v>0.12196</v>
      </c>
      <c r="C565" s="2">
        <f t="shared" si="41"/>
        <v>-24.391999999999999</v>
      </c>
      <c r="D565" s="2">
        <f t="shared" si="42"/>
        <v>-3.7645292185712878E-3</v>
      </c>
      <c r="E565" s="2">
        <f t="shared" si="44"/>
        <v>4.1891828981058858E-2</v>
      </c>
      <c r="F565" s="2">
        <f t="shared" si="43"/>
        <v>-9.0241234428599382E-3</v>
      </c>
      <c r="G565" s="2">
        <f t="shared" si="40"/>
        <v>-9.0241234428599382E-3</v>
      </c>
    </row>
    <row r="566" spans="1:7" x14ac:dyDescent="0.25">
      <c r="A566" s="18">
        <v>11.26</v>
      </c>
      <c r="B566" s="2">
        <v>0.10069</v>
      </c>
      <c r="C566" s="2">
        <f t="shared" si="41"/>
        <v>-20.138000000000002</v>
      </c>
      <c r="D566" s="2">
        <f t="shared" si="42"/>
        <v>-2.0628640603925505E-3</v>
      </c>
      <c r="E566" s="2">
        <f t="shared" si="44"/>
        <v>4.2631870188897032E-2</v>
      </c>
      <c r="F566" s="2">
        <f t="shared" si="43"/>
        <v>-3.880407818822261E-2</v>
      </c>
      <c r="G566" s="2">
        <f t="shared" si="40"/>
        <v>-3.880407818822261E-2</v>
      </c>
    </row>
    <row r="567" spans="1:7" x14ac:dyDescent="0.25">
      <c r="A567" s="18">
        <v>11.28</v>
      </c>
      <c r="B567" s="2">
        <v>7.9430000000000001E-2</v>
      </c>
      <c r="C567" s="2">
        <f t="shared" si="41"/>
        <v>-15.885999999999999</v>
      </c>
      <c r="D567" s="2">
        <f t="shared" si="42"/>
        <v>-3.7672053348910233E-4</v>
      </c>
      <c r="E567" s="2">
        <f t="shared" si="44"/>
        <v>4.2541628954468433E-2</v>
      </c>
      <c r="F567" s="2">
        <f t="shared" si="43"/>
        <v>-6.8128383995326613E-2</v>
      </c>
      <c r="G567" s="2">
        <f t="shared" si="40"/>
        <v>-6.8128383995326613E-2</v>
      </c>
    </row>
    <row r="568" spans="1:7" x14ac:dyDescent="0.25">
      <c r="A568" s="18">
        <v>11.3</v>
      </c>
      <c r="B568" s="2">
        <v>5.8160000000000003E-2</v>
      </c>
      <c r="C568" s="2">
        <f t="shared" si="41"/>
        <v>-11.632000000000001</v>
      </c>
      <c r="D568" s="2">
        <f t="shared" si="42"/>
        <v>1.2821716398162151E-3</v>
      </c>
      <c r="E568" s="2">
        <f t="shared" si="44"/>
        <v>4.2153588172586201E-2</v>
      </c>
      <c r="F568" s="2">
        <f t="shared" si="43"/>
        <v>-9.6625149194486767E-2</v>
      </c>
      <c r="G568" s="2">
        <f t="shared" si="40"/>
        <v>-9.6625149194486767E-2</v>
      </c>
    </row>
    <row r="569" spans="1:7" x14ac:dyDescent="0.25">
      <c r="A569" s="18">
        <v>11.32</v>
      </c>
      <c r="B569" s="2">
        <v>3.6889999999999999E-2</v>
      </c>
      <c r="C569" s="2">
        <f t="shared" si="41"/>
        <v>-7.3780000000000001</v>
      </c>
      <c r="D569" s="2">
        <f t="shared" si="42"/>
        <v>2.9024137534437379E-3</v>
      </c>
      <c r="E569" s="2">
        <f t="shared" si="44"/>
        <v>4.1472304332632937E-2</v>
      </c>
      <c r="F569" s="2">
        <f t="shared" si="43"/>
        <v>-0.12396241260331395</v>
      </c>
      <c r="G569" s="2">
        <f t="shared" si="40"/>
        <v>-0.12396241260331395</v>
      </c>
    </row>
    <row r="570" spans="1:7" x14ac:dyDescent="0.25">
      <c r="A570" s="18">
        <v>11.34</v>
      </c>
      <c r="B570" s="2">
        <v>1.5630000000000002E-2</v>
      </c>
      <c r="C570" s="2">
        <f t="shared" si="41"/>
        <v>-3.1260000000000003</v>
      </c>
      <c r="D570" s="2">
        <f t="shared" si="42"/>
        <v>4.4730709020299351E-3</v>
      </c>
      <c r="E570" s="2">
        <f t="shared" si="44"/>
        <v>4.0506052840688068E-2</v>
      </c>
      <c r="F570" s="2">
        <f t="shared" si="43"/>
        <v>-0.14982212706090126</v>
      </c>
      <c r="G570" s="2">
        <f t="shared" si="40"/>
        <v>-0.14982212706090126</v>
      </c>
    </row>
    <row r="571" spans="1:7" x14ac:dyDescent="0.25">
      <c r="A571" s="18">
        <v>11.36</v>
      </c>
      <c r="B571" s="2">
        <v>-5.64E-3</v>
      </c>
      <c r="C571" s="2">
        <f t="shared" si="41"/>
        <v>1.1280000000000001</v>
      </c>
      <c r="D571" s="2">
        <f t="shared" si="42"/>
        <v>5.9837991997917723E-3</v>
      </c>
      <c r="E571" s="2">
        <f t="shared" si="44"/>
        <v>3.9266428714654932E-2</v>
      </c>
      <c r="F571" s="2">
        <f t="shared" si="43"/>
        <v>-0.17387397599375515</v>
      </c>
      <c r="G571" s="2">
        <f t="shared" si="40"/>
        <v>-0.17387397599375515</v>
      </c>
    </row>
    <row r="572" spans="1:7" x14ac:dyDescent="0.25">
      <c r="A572" s="18">
        <v>11.38</v>
      </c>
      <c r="B572" s="2">
        <v>-2.69E-2</v>
      </c>
      <c r="C572" s="2">
        <f t="shared" si="41"/>
        <v>5.38</v>
      </c>
      <c r="D572" s="2">
        <f t="shared" si="42"/>
        <v>7.4249779071561073E-3</v>
      </c>
      <c r="E572" s="2">
        <f t="shared" si="44"/>
        <v>3.776820744404593E-2</v>
      </c>
      <c r="F572" s="2">
        <f t="shared" si="43"/>
        <v>-0.19584933721468206</v>
      </c>
      <c r="G572" s="2">
        <f t="shared" si="40"/>
        <v>-0.19584933721468206</v>
      </c>
    </row>
    <row r="573" spans="1:7" x14ac:dyDescent="0.25">
      <c r="A573" s="18">
        <v>11.4</v>
      </c>
      <c r="B573" s="2">
        <v>-4.8169999999999998E-2</v>
      </c>
      <c r="C573" s="2">
        <f t="shared" si="41"/>
        <v>9.6340000000000003</v>
      </c>
      <c r="D573" s="2">
        <f t="shared" si="42"/>
        <v>8.7878168796345687E-3</v>
      </c>
      <c r="E573" s="2">
        <f t="shared" si="44"/>
        <v>3.6029467684108377E-2</v>
      </c>
      <c r="F573" s="2">
        <f t="shared" si="43"/>
        <v>-0.21546450638903253</v>
      </c>
      <c r="G573" s="2">
        <f t="shared" si="40"/>
        <v>-0.21546450638903253</v>
      </c>
    </row>
    <row r="574" spans="1:7" x14ac:dyDescent="0.25">
      <c r="A574" s="18">
        <v>11.42</v>
      </c>
      <c r="B574" s="2">
        <v>-6.9440000000000002E-2</v>
      </c>
      <c r="C574" s="2">
        <f t="shared" si="41"/>
        <v>13.888</v>
      </c>
      <c r="D574" s="2">
        <f t="shared" si="42"/>
        <v>1.0064470049557418E-2</v>
      </c>
      <c r="E574" s="2">
        <f t="shared" si="44"/>
        <v>3.4070974311961537E-2</v>
      </c>
      <c r="F574" s="2">
        <f t="shared" si="43"/>
        <v>-0.23249410148671895</v>
      </c>
      <c r="G574" s="2">
        <f t="shared" si="40"/>
        <v>-0.23249410148671895</v>
      </c>
    </row>
    <row r="575" spans="1:7" x14ac:dyDescent="0.25">
      <c r="A575" s="18">
        <v>11.44</v>
      </c>
      <c r="B575" s="2">
        <v>-9.0700000000000003E-2</v>
      </c>
      <c r="C575" s="2">
        <f t="shared" si="41"/>
        <v>18.14</v>
      </c>
      <c r="D575" s="2">
        <f t="shared" si="42"/>
        <v>1.124812557888558E-2</v>
      </c>
      <c r="E575" s="2">
        <f t="shared" si="44"/>
        <v>3.191632924807123E-2</v>
      </c>
      <c r="F575" s="2">
        <f t="shared" si="43"/>
        <v>-0.24674376736656764</v>
      </c>
      <c r="G575" s="2">
        <f t="shared" si="40"/>
        <v>-0.24674376736656764</v>
      </c>
    </row>
    <row r="576" spans="1:7" x14ac:dyDescent="0.25">
      <c r="A576" s="18">
        <v>11.46</v>
      </c>
      <c r="B576" s="2">
        <v>-0.11197</v>
      </c>
      <c r="C576" s="2">
        <f t="shared" si="41"/>
        <v>22.393999999999998</v>
      </c>
      <c r="D576" s="2">
        <f t="shared" si="42"/>
        <v>1.2333083601267114E-2</v>
      </c>
      <c r="E576" s="2">
        <f t="shared" si="44"/>
        <v>2.9591388233204039E-2</v>
      </c>
      <c r="F576" s="2">
        <f t="shared" si="43"/>
        <v>-0.25802250803801452</v>
      </c>
      <c r="G576" s="2">
        <f t="shared" si="40"/>
        <v>-0.25802250803801452</v>
      </c>
    </row>
    <row r="577" spans="1:7" x14ac:dyDescent="0.25">
      <c r="A577" s="18">
        <v>11.48</v>
      </c>
      <c r="B577" s="2">
        <v>-0.11521000000000001</v>
      </c>
      <c r="C577" s="2">
        <f t="shared" si="41"/>
        <v>23.042000000000002</v>
      </c>
      <c r="D577" s="2">
        <f t="shared" si="42"/>
        <v>1.3314832620433443E-2</v>
      </c>
      <c r="E577" s="2">
        <f t="shared" si="44"/>
        <v>2.7123950559538364E-2</v>
      </c>
      <c r="F577" s="2">
        <f t="shared" si="43"/>
        <v>-0.2842349786130044</v>
      </c>
      <c r="G577" s="2">
        <f t="shared" si="40"/>
        <v>-0.2842349786130044</v>
      </c>
    </row>
    <row r="578" spans="1:7" x14ac:dyDescent="0.25">
      <c r="A578" s="18">
        <v>11.5</v>
      </c>
      <c r="B578" s="2">
        <v>-0.11846</v>
      </c>
      <c r="C578" s="2">
        <f t="shared" si="41"/>
        <v>23.692</v>
      </c>
      <c r="D578" s="2">
        <f t="shared" si="42"/>
        <v>1.418288764815457E-2</v>
      </c>
      <c r="E578" s="2">
        <f t="shared" si="44"/>
        <v>2.4543725479158219E-2</v>
      </c>
      <c r="F578" s="2">
        <f t="shared" si="43"/>
        <v>-0.30702662944464154</v>
      </c>
      <c r="G578" s="2">
        <f t="shared" ref="G578:G641" si="45">HLOOKUP($Y$3,$B$1:$F$1562,ROW(),0)</f>
        <v>-0.30702662944464154</v>
      </c>
    </row>
    <row r="579" spans="1:7" x14ac:dyDescent="0.25">
      <c r="A579" s="18">
        <v>11.52</v>
      </c>
      <c r="B579" s="2">
        <v>-0.1217</v>
      </c>
      <c r="C579" s="2">
        <f t="shared" ref="C579:C642" si="46">-$M$4*B579</f>
        <v>24.34</v>
      </c>
      <c r="D579" s="2">
        <f t="shared" si="42"/>
        <v>1.492813202409784E-2</v>
      </c>
      <c r="E579" s="2">
        <f t="shared" si="44"/>
        <v>2.1701375693028175E-2</v>
      </c>
      <c r="F579" s="2">
        <f t="shared" si="43"/>
        <v>-0.32614396072294138</v>
      </c>
      <c r="G579" s="2">
        <f t="shared" si="45"/>
        <v>-0.32614396072294138</v>
      </c>
    </row>
    <row r="580" spans="1:7" x14ac:dyDescent="0.25">
      <c r="A580" s="18">
        <v>11.54</v>
      </c>
      <c r="B580" s="2">
        <v>-0.12494</v>
      </c>
      <c r="C580" s="2">
        <f t="shared" si="46"/>
        <v>24.988</v>
      </c>
      <c r="D580" s="2">
        <f t="shared" ref="D580:D643" si="47">(C579-($Q$6*D579)-($Q$7*D578))/$Q$5</f>
        <v>1.5542918815751934E-2</v>
      </c>
      <c r="E580" s="2">
        <f t="shared" si="44"/>
        <v>1.8631109398581758E-2</v>
      </c>
      <c r="F580" s="2">
        <f t="shared" ref="F580:F643" si="48">(D579-2*D580+D581)/($A$4^2)</f>
        <v>-0.34134756447256293</v>
      </c>
      <c r="G580" s="2">
        <f t="shared" si="45"/>
        <v>-0.34134756447256293</v>
      </c>
    </row>
    <row r="581" spans="1:7" x14ac:dyDescent="0.25">
      <c r="A581" s="18">
        <v>11.56</v>
      </c>
      <c r="B581" s="2">
        <v>-0.16500000000000001</v>
      </c>
      <c r="C581" s="2">
        <f t="shared" si="46"/>
        <v>33</v>
      </c>
      <c r="D581" s="2">
        <f t="shared" si="47"/>
        <v>1.6021166581617004E-2</v>
      </c>
      <c r="E581" s="2">
        <f t="shared" ref="E581:E644" si="49">(D580-D579)/(2*$A$4)</f>
        <v>1.5369669791352345E-2</v>
      </c>
      <c r="F581" s="2">
        <f t="shared" si="48"/>
        <v>-0.31563499744850609</v>
      </c>
      <c r="G581" s="2">
        <f t="shared" si="45"/>
        <v>-0.31563499744850609</v>
      </c>
    </row>
    <row r="582" spans="1:7" x14ac:dyDescent="0.25">
      <c r="A582" s="18">
        <v>11.58</v>
      </c>
      <c r="B582" s="2">
        <v>-0.20505000000000001</v>
      </c>
      <c r="C582" s="2">
        <f t="shared" si="46"/>
        <v>41.010000000000005</v>
      </c>
      <c r="D582" s="2">
        <f t="shared" si="47"/>
        <v>1.6373160348502672E-2</v>
      </c>
      <c r="E582" s="2">
        <f t="shared" si="49"/>
        <v>1.1956194146626759E-2</v>
      </c>
      <c r="F582" s="2">
        <f t="shared" si="48"/>
        <v>-0.28614481045508705</v>
      </c>
      <c r="G582" s="2">
        <f t="shared" si="45"/>
        <v>-0.28614481045508705</v>
      </c>
    </row>
    <row r="583" spans="1:7" x14ac:dyDescent="0.25">
      <c r="A583" s="18">
        <v>11.6</v>
      </c>
      <c r="B583" s="2">
        <v>-0.15712999999999999</v>
      </c>
      <c r="C583" s="2">
        <f t="shared" si="46"/>
        <v>31.425999999999998</v>
      </c>
      <c r="D583" s="2">
        <f t="shared" si="47"/>
        <v>1.6610696191206305E-2</v>
      </c>
      <c r="E583" s="2">
        <f t="shared" si="49"/>
        <v>8.7998441721416978E-3</v>
      </c>
      <c r="F583" s="2">
        <f t="shared" si="48"/>
        <v>-0.34119088573619782</v>
      </c>
      <c r="G583" s="2">
        <f t="shared" si="45"/>
        <v>-0.34119088573619782</v>
      </c>
    </row>
    <row r="584" spans="1:7" x14ac:dyDescent="0.25">
      <c r="A584" s="18">
        <v>11.62</v>
      </c>
      <c r="B584" s="2">
        <v>-0.10921</v>
      </c>
      <c r="C584" s="2">
        <f t="shared" si="46"/>
        <v>21.841999999999999</v>
      </c>
      <c r="D584" s="2">
        <f t="shared" si="47"/>
        <v>1.6711755679615459E-2</v>
      </c>
      <c r="E584" s="2">
        <f t="shared" si="49"/>
        <v>5.9383960675908273E-3</v>
      </c>
      <c r="F584" s="2">
        <f t="shared" si="48"/>
        <v>-0.39214267038845119</v>
      </c>
      <c r="G584" s="2">
        <f t="shared" si="45"/>
        <v>-0.39214267038845119</v>
      </c>
    </row>
    <row r="585" spans="1:7" x14ac:dyDescent="0.25">
      <c r="A585" s="18">
        <v>11.64</v>
      </c>
      <c r="B585" s="2">
        <v>-6.1289999999999997E-2</v>
      </c>
      <c r="C585" s="2">
        <f t="shared" si="46"/>
        <v>12.257999999999999</v>
      </c>
      <c r="D585" s="2">
        <f t="shared" si="47"/>
        <v>1.6655958099869233E-2</v>
      </c>
      <c r="E585" s="2">
        <f t="shared" si="49"/>
        <v>2.5264872102288491E-3</v>
      </c>
      <c r="F585" s="2">
        <f t="shared" si="48"/>
        <v>-0.43838874299606706</v>
      </c>
      <c r="G585" s="2">
        <f t="shared" si="45"/>
        <v>-0.43838874299606706</v>
      </c>
    </row>
    <row r="586" spans="1:7" x14ac:dyDescent="0.25">
      <c r="A586" s="18">
        <v>11.66</v>
      </c>
      <c r="B586" s="2">
        <v>-1.337E-2</v>
      </c>
      <c r="C586" s="2">
        <f t="shared" si="46"/>
        <v>2.6739999999999999</v>
      </c>
      <c r="D586" s="2">
        <f t="shared" si="47"/>
        <v>1.642480502292458E-2</v>
      </c>
      <c r="E586" s="2">
        <f t="shared" si="49"/>
        <v>-1.3949394936556628E-3</v>
      </c>
      <c r="F586" s="2">
        <f t="shared" si="48"/>
        <v>-0.47937415068773254</v>
      </c>
      <c r="G586" s="2">
        <f t="shared" si="45"/>
        <v>-0.47937415068773254</v>
      </c>
    </row>
    <row r="587" spans="1:7" x14ac:dyDescent="0.25">
      <c r="A587" s="18">
        <v>11.68</v>
      </c>
      <c r="B587" s="2">
        <v>3.4549999999999997E-2</v>
      </c>
      <c r="C587" s="2">
        <f t="shared" si="46"/>
        <v>-6.9099999999999993</v>
      </c>
      <c r="D587" s="2">
        <f t="shared" si="47"/>
        <v>1.6001902285704833E-2</v>
      </c>
      <c r="E587" s="2">
        <f t="shared" si="49"/>
        <v>-5.7788269236163335E-3</v>
      </c>
      <c r="F587" s="2">
        <f t="shared" si="48"/>
        <v>-0.51460706857113769</v>
      </c>
      <c r="G587" s="2">
        <f t="shared" si="45"/>
        <v>-0.51460706857113769</v>
      </c>
    </row>
    <row r="588" spans="1:7" x14ac:dyDescent="0.25">
      <c r="A588" s="18">
        <v>11.7</v>
      </c>
      <c r="B588" s="2">
        <v>8.2470000000000002E-2</v>
      </c>
      <c r="C588" s="2">
        <f t="shared" si="46"/>
        <v>-16.494</v>
      </c>
      <c r="D588" s="2">
        <f t="shared" si="47"/>
        <v>1.5373156721056632E-2</v>
      </c>
      <c r="E588" s="2">
        <f t="shared" si="49"/>
        <v>-1.0572568430493659E-2</v>
      </c>
      <c r="F588" s="2">
        <f t="shared" si="48"/>
        <v>-0.54366470163170688</v>
      </c>
      <c r="G588" s="2">
        <f t="shared" si="45"/>
        <v>-0.54366470163170688</v>
      </c>
    </row>
    <row r="589" spans="1:7" x14ac:dyDescent="0.25">
      <c r="A589" s="18">
        <v>11.72</v>
      </c>
      <c r="B589" s="2">
        <v>7.5759999999999994E-2</v>
      </c>
      <c r="C589" s="2">
        <f t="shared" si="46"/>
        <v>-15.151999999999999</v>
      </c>
      <c r="D589" s="2">
        <f t="shared" si="47"/>
        <v>1.4526945275755748E-2</v>
      </c>
      <c r="E589" s="2">
        <f t="shared" si="49"/>
        <v>-1.5718639116205035E-2</v>
      </c>
      <c r="F589" s="2">
        <f t="shared" si="48"/>
        <v>-0.51156835827267755</v>
      </c>
      <c r="G589" s="2">
        <f t="shared" si="45"/>
        <v>-0.51156835827267755</v>
      </c>
    </row>
    <row r="590" spans="1:7" x14ac:dyDescent="0.25">
      <c r="A590" s="18">
        <v>11.74</v>
      </c>
      <c r="B590" s="2">
        <v>6.9059999999999996E-2</v>
      </c>
      <c r="C590" s="2">
        <f t="shared" si="46"/>
        <v>-13.811999999999999</v>
      </c>
      <c r="D590" s="2">
        <f t="shared" si="47"/>
        <v>1.3476106487145792E-2</v>
      </c>
      <c r="E590" s="2">
        <f t="shared" si="49"/>
        <v>-2.1155286132522103E-2</v>
      </c>
      <c r="F590" s="2">
        <f t="shared" si="48"/>
        <v>-0.47334319461436908</v>
      </c>
      <c r="G590" s="2">
        <f t="shared" si="45"/>
        <v>-0.47334319461436908</v>
      </c>
    </row>
    <row r="591" spans="1:7" x14ac:dyDescent="0.25">
      <c r="A591" s="18">
        <v>11.76</v>
      </c>
      <c r="B591" s="2">
        <v>6.2359999999999999E-2</v>
      </c>
      <c r="C591" s="2">
        <f t="shared" si="46"/>
        <v>-12.472</v>
      </c>
      <c r="D591" s="2">
        <f t="shared" si="47"/>
        <v>1.2235930420690089E-2</v>
      </c>
      <c r="E591" s="2">
        <f t="shared" si="49"/>
        <v>-2.6270969715248879E-2</v>
      </c>
      <c r="F591" s="2">
        <f t="shared" si="48"/>
        <v>-0.42943791262070335</v>
      </c>
      <c r="G591" s="2">
        <f t="shared" si="45"/>
        <v>-0.42943791262070335</v>
      </c>
    </row>
    <row r="592" spans="1:7" x14ac:dyDescent="0.25">
      <c r="A592" s="18">
        <v>11.78</v>
      </c>
      <c r="B592" s="2">
        <v>8.7349999999999997E-2</v>
      </c>
      <c r="C592" s="2">
        <f t="shared" si="46"/>
        <v>-17.47</v>
      </c>
      <c r="D592" s="2">
        <f t="shared" si="47"/>
        <v>1.0823979189186105E-2</v>
      </c>
      <c r="E592" s="2">
        <f t="shared" si="49"/>
        <v>-3.100440166139257E-2</v>
      </c>
      <c r="F592" s="2">
        <f t="shared" si="48"/>
        <v>-0.41206937567557672</v>
      </c>
      <c r="G592" s="2">
        <f t="shared" si="45"/>
        <v>-0.41206937567557672</v>
      </c>
    </row>
    <row r="593" spans="1:7" x14ac:dyDescent="0.25">
      <c r="A593" s="18">
        <v>11.8</v>
      </c>
      <c r="B593" s="2">
        <v>0.11235000000000001</v>
      </c>
      <c r="C593" s="2">
        <f t="shared" si="46"/>
        <v>-22.470000000000002</v>
      </c>
      <c r="D593" s="2">
        <f t="shared" si="47"/>
        <v>9.2472002074118903E-3</v>
      </c>
      <c r="E593" s="2">
        <f t="shared" si="49"/>
        <v>-3.5298780787599605E-2</v>
      </c>
      <c r="F593" s="2">
        <f t="shared" si="48"/>
        <v>-0.38976600622235569</v>
      </c>
      <c r="G593" s="2">
        <f t="shared" si="45"/>
        <v>-0.38976600622235569</v>
      </c>
    </row>
    <row r="594" spans="1:7" x14ac:dyDescent="0.25">
      <c r="A594" s="18">
        <v>11.82</v>
      </c>
      <c r="B594" s="2">
        <v>0.13733999999999999</v>
      </c>
      <c r="C594" s="2">
        <f t="shared" si="46"/>
        <v>-27.467999999999996</v>
      </c>
      <c r="D594" s="2">
        <f t="shared" si="47"/>
        <v>7.5145148231487331E-3</v>
      </c>
      <c r="E594" s="2">
        <f t="shared" si="49"/>
        <v>-3.9419474544355369E-2</v>
      </c>
      <c r="F594" s="2">
        <f t="shared" si="48"/>
        <v>-0.36277544469446232</v>
      </c>
      <c r="G594" s="2">
        <f t="shared" si="45"/>
        <v>-0.36277544469446232</v>
      </c>
    </row>
    <row r="595" spans="1:7" x14ac:dyDescent="0.25">
      <c r="A595" s="18">
        <v>11.84</v>
      </c>
      <c r="B595" s="2">
        <v>0.12175</v>
      </c>
      <c r="C595" s="2">
        <f t="shared" si="46"/>
        <v>-24.349999999999998</v>
      </c>
      <c r="D595" s="2">
        <f t="shared" si="47"/>
        <v>5.636719261007791E-3</v>
      </c>
      <c r="E595" s="2">
        <f t="shared" si="49"/>
        <v>-4.3317134606578926E-2</v>
      </c>
      <c r="F595" s="2">
        <f t="shared" si="48"/>
        <v>-0.29085157783023496</v>
      </c>
      <c r="G595" s="2">
        <f t="shared" si="45"/>
        <v>-0.29085157783023496</v>
      </c>
    </row>
    <row r="596" spans="1:7" x14ac:dyDescent="0.25">
      <c r="A596" s="18">
        <v>11.86</v>
      </c>
      <c r="B596" s="2">
        <v>0.10616</v>
      </c>
      <c r="C596" s="2">
        <f t="shared" si="46"/>
        <v>-21.231999999999999</v>
      </c>
      <c r="D596" s="2">
        <f t="shared" si="47"/>
        <v>3.6425830677347549E-3</v>
      </c>
      <c r="E596" s="2">
        <f t="shared" si="49"/>
        <v>-4.694488905352355E-2</v>
      </c>
      <c r="F596" s="2">
        <f t="shared" si="48"/>
        <v>-0.21543749203204202</v>
      </c>
      <c r="G596" s="2">
        <f t="shared" si="45"/>
        <v>-0.21543749203204202</v>
      </c>
    </row>
    <row r="597" spans="1:7" x14ac:dyDescent="0.25">
      <c r="A597" s="18">
        <v>11.88</v>
      </c>
      <c r="B597" s="2">
        <v>9.0569999999999998E-2</v>
      </c>
      <c r="C597" s="2">
        <f t="shared" si="46"/>
        <v>-18.114000000000001</v>
      </c>
      <c r="D597" s="2">
        <f t="shared" si="47"/>
        <v>1.562271877648902E-3</v>
      </c>
      <c r="E597" s="2">
        <f t="shared" si="49"/>
        <v>-4.9853404831825904E-2</v>
      </c>
      <c r="F597" s="2">
        <f t="shared" si="48"/>
        <v>-0.1374381563294666</v>
      </c>
      <c r="G597" s="2">
        <f t="shared" si="45"/>
        <v>-0.1374381563294666</v>
      </c>
    </row>
    <row r="598" spans="1:7" x14ac:dyDescent="0.25">
      <c r="A598" s="18">
        <v>11.9</v>
      </c>
      <c r="B598" s="2">
        <v>7.4980000000000005E-2</v>
      </c>
      <c r="C598" s="2">
        <f t="shared" si="46"/>
        <v>-14.996</v>
      </c>
      <c r="D598" s="2">
        <f t="shared" si="47"/>
        <v>-5.7301457496873761E-4</v>
      </c>
      <c r="E598" s="2">
        <f t="shared" si="49"/>
        <v>-5.2007779752146321E-2</v>
      </c>
      <c r="F598" s="2">
        <f t="shared" si="48"/>
        <v>-5.7789562750937357E-2</v>
      </c>
      <c r="G598" s="2">
        <f t="shared" si="45"/>
        <v>-5.7789562750937357E-2</v>
      </c>
    </row>
    <row r="599" spans="1:7" x14ac:dyDescent="0.25">
      <c r="A599" s="18">
        <v>11.92</v>
      </c>
      <c r="B599" s="2">
        <v>8.0110000000000001E-2</v>
      </c>
      <c r="C599" s="2">
        <f t="shared" si="46"/>
        <v>-16.021999999999998</v>
      </c>
      <c r="D599" s="2">
        <f t="shared" si="47"/>
        <v>-2.7314168526867523E-3</v>
      </c>
      <c r="E599" s="2">
        <f t="shared" si="49"/>
        <v>-5.338216131544099E-2</v>
      </c>
      <c r="F599" s="2">
        <f t="shared" si="48"/>
        <v>1.8325055806014783E-3</v>
      </c>
      <c r="G599" s="2">
        <f t="shared" si="45"/>
        <v>1.8325055806014783E-3</v>
      </c>
    </row>
    <row r="600" spans="1:7" x14ac:dyDescent="0.25">
      <c r="A600" s="18">
        <v>11.94</v>
      </c>
      <c r="B600" s="2">
        <v>8.5239999999999996E-2</v>
      </c>
      <c r="C600" s="2">
        <f t="shared" si="46"/>
        <v>-17.047999999999998</v>
      </c>
      <c r="D600" s="2">
        <f t="shared" si="47"/>
        <v>-4.8890861281725264E-3</v>
      </c>
      <c r="E600" s="2">
        <f t="shared" si="49"/>
        <v>-5.3960056942950363E-2</v>
      </c>
      <c r="F600" s="2">
        <f t="shared" si="48"/>
        <v>6.1432583845174617E-2</v>
      </c>
      <c r="G600" s="2">
        <f t="shared" si="45"/>
        <v>6.1432583845174617E-2</v>
      </c>
    </row>
    <row r="601" spans="1:7" x14ac:dyDescent="0.25">
      <c r="A601" s="18">
        <v>11.96</v>
      </c>
      <c r="B601" s="2">
        <v>9.0370000000000006E-2</v>
      </c>
      <c r="C601" s="2">
        <f t="shared" si="46"/>
        <v>-18.074000000000002</v>
      </c>
      <c r="D601" s="2">
        <f t="shared" si="47"/>
        <v>-7.0221823701202305E-3</v>
      </c>
      <c r="E601" s="2">
        <f t="shared" si="49"/>
        <v>-5.3941731887144351E-2</v>
      </c>
      <c r="F601" s="2">
        <f t="shared" si="48"/>
        <v>0.12029547110360694</v>
      </c>
      <c r="G601" s="2">
        <f t="shared" si="45"/>
        <v>0.12029547110360694</v>
      </c>
    </row>
    <row r="602" spans="1:7" x14ac:dyDescent="0.25">
      <c r="A602" s="18">
        <v>11.98</v>
      </c>
      <c r="B602" s="2">
        <v>6.2080000000000003E-2</v>
      </c>
      <c r="C602" s="2">
        <f t="shared" si="46"/>
        <v>-12.416</v>
      </c>
      <c r="D602" s="2">
        <f t="shared" si="47"/>
        <v>-9.1071604236264911E-3</v>
      </c>
      <c r="E602" s="2">
        <f t="shared" si="49"/>
        <v>-5.3327406048692606E-2</v>
      </c>
      <c r="F602" s="2">
        <f t="shared" si="48"/>
        <v>0.21113481270879605</v>
      </c>
      <c r="G602" s="2">
        <f t="shared" si="45"/>
        <v>0.21113481270879605</v>
      </c>
    </row>
    <row r="603" spans="1:7" x14ac:dyDescent="0.25">
      <c r="A603" s="18">
        <v>12</v>
      </c>
      <c r="B603" s="2">
        <v>3.3779999999999998E-2</v>
      </c>
      <c r="C603" s="2">
        <f t="shared" si="46"/>
        <v>-6.7559999999999993</v>
      </c>
      <c r="D603" s="2">
        <f t="shared" si="47"/>
        <v>-1.1107684552049232E-2</v>
      </c>
      <c r="E603" s="2">
        <f t="shared" si="49"/>
        <v>-5.2124451337656509E-2</v>
      </c>
      <c r="F603" s="2">
        <f t="shared" si="48"/>
        <v>0.29945053656148068</v>
      </c>
      <c r="G603" s="2">
        <f t="shared" si="45"/>
        <v>0.29945053656148068</v>
      </c>
    </row>
    <row r="604" spans="1:7" x14ac:dyDescent="0.25">
      <c r="A604" s="18">
        <v>12.02</v>
      </c>
      <c r="B604" s="2">
        <v>5.4900000000000001E-3</v>
      </c>
      <c r="C604" s="2">
        <f t="shared" si="46"/>
        <v>-1.0980000000000001</v>
      </c>
      <c r="D604" s="2">
        <f t="shared" si="47"/>
        <v>-1.2988428465847381E-2</v>
      </c>
      <c r="E604" s="2">
        <f t="shared" si="49"/>
        <v>-5.0013103210568531E-2</v>
      </c>
      <c r="F604" s="2">
        <f t="shared" si="48"/>
        <v>0.38416285397542288</v>
      </c>
      <c r="G604" s="2">
        <f t="shared" si="45"/>
        <v>0.38416285397542288</v>
      </c>
    </row>
    <row r="605" spans="1:7" x14ac:dyDescent="0.25">
      <c r="A605" s="18">
        <v>12.04</v>
      </c>
      <c r="B605" s="2">
        <v>-2.281E-2</v>
      </c>
      <c r="C605" s="2">
        <f t="shared" si="46"/>
        <v>4.5620000000000003</v>
      </c>
      <c r="D605" s="2">
        <f t="shared" si="47"/>
        <v>-1.4715507238055361E-2</v>
      </c>
      <c r="E605" s="2">
        <f t="shared" si="49"/>
        <v>-4.701859784495372E-2</v>
      </c>
      <c r="F605" s="2">
        <f t="shared" si="48"/>
        <v>0.46427521714165715</v>
      </c>
      <c r="G605" s="2">
        <f t="shared" si="45"/>
        <v>0.46427521714165715</v>
      </c>
    </row>
    <row r="606" spans="1:7" x14ac:dyDescent="0.25">
      <c r="A606" s="18">
        <v>12.06</v>
      </c>
      <c r="B606" s="2">
        <v>-5.4440000000000002E-2</v>
      </c>
      <c r="C606" s="2">
        <f t="shared" si="46"/>
        <v>10.888</v>
      </c>
      <c r="D606" s="2">
        <f t="shared" si="47"/>
        <v>-1.6256875923406678E-2</v>
      </c>
      <c r="E606" s="2">
        <f t="shared" si="49"/>
        <v>-4.3176969305199493E-2</v>
      </c>
      <c r="F606" s="2">
        <f t="shared" si="48"/>
        <v>0.54214627770219836</v>
      </c>
      <c r="G606" s="2">
        <f t="shared" si="45"/>
        <v>0.54214627770219836</v>
      </c>
    </row>
    <row r="607" spans="1:7" x14ac:dyDescent="0.25">
      <c r="A607" s="18">
        <v>12.08</v>
      </c>
      <c r="B607" s="2">
        <v>-4.0300000000000002E-2</v>
      </c>
      <c r="C607" s="2">
        <f t="shared" si="46"/>
        <v>8.06</v>
      </c>
      <c r="D607" s="2">
        <f t="shared" si="47"/>
        <v>-1.7581386097677114E-2</v>
      </c>
      <c r="E607" s="2">
        <f t="shared" si="49"/>
        <v>-3.8534217133782925E-2</v>
      </c>
      <c r="F607" s="2">
        <f t="shared" si="48"/>
        <v>0.56774158293032218</v>
      </c>
      <c r="G607" s="2">
        <f t="shared" si="45"/>
        <v>0.56774158293032218</v>
      </c>
    </row>
    <row r="608" spans="1:7" x14ac:dyDescent="0.25">
      <c r="A608" s="18">
        <v>12.1</v>
      </c>
      <c r="B608" s="2">
        <v>-2.615E-2</v>
      </c>
      <c r="C608" s="2">
        <f t="shared" si="46"/>
        <v>5.2299999999999995</v>
      </c>
      <c r="D608" s="2">
        <f t="shared" si="47"/>
        <v>-1.8678799638775421E-2</v>
      </c>
      <c r="E608" s="2">
        <f t="shared" si="49"/>
        <v>-3.3112754356760893E-2</v>
      </c>
      <c r="F608" s="2">
        <f t="shared" si="48"/>
        <v>0.58651398916326891</v>
      </c>
      <c r="G608" s="2">
        <f t="shared" si="45"/>
        <v>0.58651398916326891</v>
      </c>
    </row>
    <row r="609" spans="1:7" x14ac:dyDescent="0.25">
      <c r="A609" s="18">
        <v>12.12</v>
      </c>
      <c r="B609" s="2">
        <v>-1.201E-2</v>
      </c>
      <c r="C609" s="2">
        <f t="shared" si="46"/>
        <v>2.4020000000000001</v>
      </c>
      <c r="D609" s="2">
        <f t="shared" si="47"/>
        <v>-1.954160758420842E-2</v>
      </c>
      <c r="E609" s="2">
        <f t="shared" si="49"/>
        <v>-2.7435338527457675E-2</v>
      </c>
      <c r="F609" s="2">
        <f t="shared" si="48"/>
        <v>0.59825822752623303</v>
      </c>
      <c r="G609" s="2">
        <f t="shared" si="45"/>
        <v>0.59825822752623303</v>
      </c>
    </row>
    <row r="610" spans="1:7" x14ac:dyDescent="0.25">
      <c r="A610" s="18">
        <v>12.14</v>
      </c>
      <c r="B610" s="2">
        <v>-2.0279999999999999E-2</v>
      </c>
      <c r="C610" s="2">
        <f t="shared" si="46"/>
        <v>4.056</v>
      </c>
      <c r="D610" s="2">
        <f t="shared" si="47"/>
        <v>-2.0165112238630926E-2</v>
      </c>
      <c r="E610" s="2">
        <f t="shared" si="49"/>
        <v>-2.1570198635824985E-2</v>
      </c>
      <c r="F610" s="2">
        <f t="shared" si="48"/>
        <v>0.62523336715893107</v>
      </c>
      <c r="G610" s="2">
        <f t="shared" si="45"/>
        <v>0.62523336715893107</v>
      </c>
    </row>
    <row r="611" spans="1:7" x14ac:dyDescent="0.25">
      <c r="A611" s="18">
        <v>12.16</v>
      </c>
      <c r="B611" s="2">
        <v>-2.8549999999999999E-2</v>
      </c>
      <c r="C611" s="2">
        <f t="shared" si="46"/>
        <v>5.71</v>
      </c>
      <c r="D611" s="2">
        <f t="shared" si="47"/>
        <v>-2.053852354618986E-2</v>
      </c>
      <c r="E611" s="2">
        <f t="shared" si="49"/>
        <v>-1.5587616360562655E-2</v>
      </c>
      <c r="F611" s="2">
        <f t="shared" si="48"/>
        <v>0.64470570638569014</v>
      </c>
      <c r="G611" s="2">
        <f t="shared" si="45"/>
        <v>0.64470570638569014</v>
      </c>
    </row>
    <row r="612" spans="1:7" x14ac:dyDescent="0.25">
      <c r="A612" s="18">
        <v>12.18</v>
      </c>
      <c r="B612" s="2">
        <v>-6.2429999999999999E-2</v>
      </c>
      <c r="C612" s="2">
        <f t="shared" si="46"/>
        <v>12.486000000000001</v>
      </c>
      <c r="D612" s="2">
        <f t="shared" si="47"/>
        <v>-2.0654052571194518E-2</v>
      </c>
      <c r="E612" s="2">
        <f t="shared" si="49"/>
        <v>-9.335282688973344E-3</v>
      </c>
      <c r="F612" s="2">
        <f t="shared" si="48"/>
        <v>0.68205157713583509</v>
      </c>
      <c r="G612" s="2">
        <f t="shared" si="45"/>
        <v>0.68205157713583509</v>
      </c>
    </row>
    <row r="613" spans="1:7" x14ac:dyDescent="0.25">
      <c r="A613" s="18">
        <v>12.2</v>
      </c>
      <c r="B613" s="2">
        <v>-3.524E-2</v>
      </c>
      <c r="C613" s="2">
        <f t="shared" si="46"/>
        <v>7.048</v>
      </c>
      <c r="D613" s="2">
        <f t="shared" si="47"/>
        <v>-2.0496760965344842E-2</v>
      </c>
      <c r="E613" s="2">
        <f t="shared" si="49"/>
        <v>-2.8882256251164425E-3</v>
      </c>
      <c r="F613" s="2">
        <f t="shared" si="48"/>
        <v>0.65014282896034248</v>
      </c>
      <c r="G613" s="2">
        <f t="shared" si="45"/>
        <v>0.65014282896034248</v>
      </c>
    </row>
    <row r="614" spans="1:7" x14ac:dyDescent="0.25">
      <c r="A614" s="18">
        <v>12.22</v>
      </c>
      <c r="B614" s="2">
        <v>-8.0499999999999999E-3</v>
      </c>
      <c r="C614" s="2">
        <f t="shared" si="46"/>
        <v>1.6099999999999999</v>
      </c>
      <c r="D614" s="2">
        <f t="shared" si="47"/>
        <v>-2.0079412227911028E-2</v>
      </c>
      <c r="E614" s="2">
        <f t="shared" si="49"/>
        <v>3.932290146241909E-3</v>
      </c>
      <c r="F614" s="2">
        <f t="shared" si="48"/>
        <v>0.61043236683732716</v>
      </c>
      <c r="G614" s="2">
        <f t="shared" si="45"/>
        <v>0.61043236683732716</v>
      </c>
    </row>
    <row r="615" spans="1:7" x14ac:dyDescent="0.25">
      <c r="A615" s="18">
        <v>12.24</v>
      </c>
      <c r="B615" s="2">
        <v>-4.9480000000000003E-2</v>
      </c>
      <c r="C615" s="2">
        <f t="shared" si="46"/>
        <v>9.8960000000000008</v>
      </c>
      <c r="D615" s="2">
        <f t="shared" si="47"/>
        <v>-1.9417890543742284E-2</v>
      </c>
      <c r="E615" s="2">
        <f t="shared" si="49"/>
        <v>1.0433718435845334E-2</v>
      </c>
      <c r="F615" s="2">
        <f t="shared" si="48"/>
        <v>0.63201671631226031</v>
      </c>
      <c r="G615" s="2">
        <f t="shared" si="45"/>
        <v>0.63201671631226031</v>
      </c>
    </row>
    <row r="616" spans="1:7" x14ac:dyDescent="0.25">
      <c r="A616" s="18">
        <v>12.26</v>
      </c>
      <c r="B616" s="2">
        <v>-3.6429999999999997E-2</v>
      </c>
      <c r="C616" s="2">
        <f t="shared" si="46"/>
        <v>7.2859999999999996</v>
      </c>
      <c r="D616" s="2">
        <f t="shared" si="47"/>
        <v>-1.8503562173048636E-2</v>
      </c>
      <c r="E616" s="2">
        <f t="shared" si="49"/>
        <v>1.6538042104218605E-2</v>
      </c>
      <c r="F616" s="2">
        <f t="shared" si="48"/>
        <v>0.5915368651914551</v>
      </c>
      <c r="G616" s="2">
        <f t="shared" si="45"/>
        <v>0.5915368651914551</v>
      </c>
    </row>
    <row r="617" spans="1:7" x14ac:dyDescent="0.25">
      <c r="A617" s="18">
        <v>12.28</v>
      </c>
      <c r="B617" s="2">
        <v>-2.3369999999999998E-2</v>
      </c>
      <c r="C617" s="2">
        <f t="shared" si="46"/>
        <v>4.6739999999999995</v>
      </c>
      <c r="D617" s="2">
        <f t="shared" si="47"/>
        <v>-1.7352619056278405E-2</v>
      </c>
      <c r="E617" s="2">
        <f t="shared" si="49"/>
        <v>2.2858209267341209E-2</v>
      </c>
      <c r="F617" s="2">
        <f t="shared" si="48"/>
        <v>0.54394857168835187</v>
      </c>
      <c r="G617" s="2">
        <f t="shared" si="45"/>
        <v>0.54394857168835187</v>
      </c>
    </row>
    <row r="618" spans="1:7" x14ac:dyDescent="0.25">
      <c r="A618" s="18">
        <v>12.3</v>
      </c>
      <c r="B618" s="2">
        <v>-3.3680000000000002E-2</v>
      </c>
      <c r="C618" s="2">
        <f t="shared" si="46"/>
        <v>6.7360000000000007</v>
      </c>
      <c r="D618" s="2">
        <f t="shared" si="47"/>
        <v>-1.5984096510832834E-2</v>
      </c>
      <c r="E618" s="2">
        <f t="shared" si="49"/>
        <v>2.877357791925576E-2</v>
      </c>
      <c r="F618" s="2">
        <f t="shared" si="48"/>
        <v>0.5132028953249963</v>
      </c>
      <c r="G618" s="2">
        <f t="shared" si="45"/>
        <v>0.5132028953249963</v>
      </c>
    </row>
    <row r="619" spans="1:7" x14ac:dyDescent="0.25">
      <c r="A619" s="18">
        <v>12.32</v>
      </c>
      <c r="B619" s="2">
        <v>-1.8790000000000001E-2</v>
      </c>
      <c r="C619" s="2">
        <f t="shared" si="46"/>
        <v>3.758</v>
      </c>
      <c r="D619" s="2">
        <f t="shared" si="47"/>
        <v>-1.4410292807257264E-2</v>
      </c>
      <c r="E619" s="2">
        <f t="shared" si="49"/>
        <v>3.4213063636139275E-2</v>
      </c>
      <c r="F619" s="2">
        <f t="shared" si="48"/>
        <v>0.45109878421771726</v>
      </c>
      <c r="G619" s="2">
        <f t="shared" si="45"/>
        <v>0.45109878421771726</v>
      </c>
    </row>
    <row r="620" spans="1:7" x14ac:dyDescent="0.25">
      <c r="A620" s="18">
        <v>12.34</v>
      </c>
      <c r="B620" s="2">
        <v>-3.8899999999999998E-3</v>
      </c>
      <c r="C620" s="2">
        <f t="shared" si="46"/>
        <v>0.77799999999999991</v>
      </c>
      <c r="D620" s="2">
        <f t="shared" si="47"/>
        <v>-1.2656049589994608E-2</v>
      </c>
      <c r="E620" s="2">
        <f t="shared" si="49"/>
        <v>3.9345092589389244E-2</v>
      </c>
      <c r="F620" s="2">
        <f t="shared" si="48"/>
        <v>0.38357148769984323</v>
      </c>
      <c r="G620" s="2">
        <f t="shared" si="45"/>
        <v>0.38357148769984323</v>
      </c>
    </row>
    <row r="621" spans="1:7" x14ac:dyDescent="0.25">
      <c r="A621" s="18">
        <v>12.36</v>
      </c>
      <c r="B621" s="2">
        <v>1.0999999999999999E-2</v>
      </c>
      <c r="C621" s="2">
        <f t="shared" si="46"/>
        <v>-2.1999999999999997</v>
      </c>
      <c r="D621" s="2">
        <f t="shared" si="47"/>
        <v>-1.0748377777652014E-2</v>
      </c>
      <c r="E621" s="2">
        <f t="shared" si="49"/>
        <v>4.3856080431566413E-2</v>
      </c>
      <c r="F621" s="2">
        <f t="shared" si="48"/>
        <v>0.31145133332955571</v>
      </c>
      <c r="G621" s="2">
        <f t="shared" si="45"/>
        <v>0.31145133332955571</v>
      </c>
    </row>
    <row r="622" spans="1:7" x14ac:dyDescent="0.25">
      <c r="A622" s="18">
        <v>12.38</v>
      </c>
      <c r="B622" s="2">
        <v>2.589E-2</v>
      </c>
      <c r="C622" s="2">
        <f t="shared" si="46"/>
        <v>-5.1779999999999999</v>
      </c>
      <c r="D622" s="2">
        <f t="shared" si="47"/>
        <v>-8.7161254319775977E-3</v>
      </c>
      <c r="E622" s="2">
        <f t="shared" si="49"/>
        <v>4.7691795308564849E-2</v>
      </c>
      <c r="F622" s="2">
        <f t="shared" si="48"/>
        <v>0.23559376295933468</v>
      </c>
      <c r="G622" s="2">
        <f t="shared" si="45"/>
        <v>0.23559376295933468</v>
      </c>
    </row>
    <row r="623" spans="1:7" x14ac:dyDescent="0.25">
      <c r="A623" s="18">
        <v>12.4</v>
      </c>
      <c r="B623" s="2">
        <v>1.4460000000000001E-2</v>
      </c>
      <c r="C623" s="2">
        <f t="shared" si="46"/>
        <v>-2.8920000000000003</v>
      </c>
      <c r="D623" s="2">
        <f t="shared" si="47"/>
        <v>-6.5896355811194476E-3</v>
      </c>
      <c r="E623" s="2">
        <f t="shared" si="49"/>
        <v>5.0806308641860407E-2</v>
      </c>
      <c r="F623" s="2">
        <f t="shared" si="48"/>
        <v>0.18322906743358436</v>
      </c>
      <c r="G623" s="2">
        <f t="shared" si="45"/>
        <v>0.18322906743358436</v>
      </c>
    </row>
    <row r="624" spans="1:7" x14ac:dyDescent="0.25">
      <c r="A624" s="18">
        <v>12.42</v>
      </c>
      <c r="B624" s="2">
        <v>3.0300000000000001E-3</v>
      </c>
      <c r="C624" s="2">
        <f t="shared" si="46"/>
        <v>-0.60599999999999998</v>
      </c>
      <c r="D624" s="2">
        <f t="shared" si="47"/>
        <v>-4.3898541032878638E-3</v>
      </c>
      <c r="E624" s="2">
        <f t="shared" si="49"/>
        <v>5.3162246271453752E-2</v>
      </c>
      <c r="F624" s="2">
        <f t="shared" si="48"/>
        <v>0.1286656230986376</v>
      </c>
      <c r="G624" s="2">
        <f t="shared" si="45"/>
        <v>0.1286656230986376</v>
      </c>
    </row>
    <row r="625" spans="1:7" x14ac:dyDescent="0.25">
      <c r="A625" s="18">
        <v>12.44</v>
      </c>
      <c r="B625" s="2">
        <v>-8.3999999999999995E-3</v>
      </c>
      <c r="C625" s="2">
        <f t="shared" si="46"/>
        <v>1.68</v>
      </c>
      <c r="D625" s="2">
        <f t="shared" si="47"/>
        <v>-2.138606376216825E-3</v>
      </c>
      <c r="E625" s="2">
        <f t="shared" si="49"/>
        <v>5.4994536945789596E-2</v>
      </c>
      <c r="F625" s="2">
        <f t="shared" si="48"/>
        <v>7.2558191286504509E-2</v>
      </c>
      <c r="G625" s="2">
        <f t="shared" si="45"/>
        <v>7.2558191286504509E-2</v>
      </c>
    </row>
    <row r="626" spans="1:7" x14ac:dyDescent="0.25">
      <c r="A626" s="18">
        <v>12.46</v>
      </c>
      <c r="B626" s="2">
        <v>4.6299999999999996E-3</v>
      </c>
      <c r="C626" s="2">
        <f t="shared" si="46"/>
        <v>-0.92599999999999993</v>
      </c>
      <c r="D626" s="2">
        <f t="shared" si="47"/>
        <v>1.4166462736881567E-4</v>
      </c>
      <c r="E626" s="2">
        <f t="shared" si="49"/>
        <v>5.6281193176775969E-2</v>
      </c>
      <c r="F626" s="2">
        <f t="shared" si="48"/>
        <v>-8.8799388210636897E-3</v>
      </c>
      <c r="G626" s="2">
        <f t="shared" si="45"/>
        <v>-8.8799388210636897E-3</v>
      </c>
    </row>
    <row r="627" spans="1:7" x14ac:dyDescent="0.25">
      <c r="A627" s="18">
        <v>12.48</v>
      </c>
      <c r="B627" s="2">
        <v>1.7659999999999999E-2</v>
      </c>
      <c r="C627" s="2">
        <f t="shared" si="46"/>
        <v>-3.5319999999999996</v>
      </c>
      <c r="D627" s="2">
        <f t="shared" si="47"/>
        <v>2.4183836554260308E-3</v>
      </c>
      <c r="E627" s="2">
        <f t="shared" si="49"/>
        <v>5.7006775089641019E-2</v>
      </c>
      <c r="F627" s="2">
        <f t="shared" si="48"/>
        <v>-9.0211509662782227E-2</v>
      </c>
      <c r="G627" s="2">
        <f t="shared" si="45"/>
        <v>-9.0211509662782227E-2</v>
      </c>
    </row>
    <row r="628" spans="1:7" x14ac:dyDescent="0.25">
      <c r="A628" s="18">
        <v>12.5</v>
      </c>
      <c r="B628" s="2">
        <v>3.0689999999999999E-2</v>
      </c>
      <c r="C628" s="2">
        <f t="shared" si="46"/>
        <v>-6.1379999999999999</v>
      </c>
      <c r="D628" s="2">
        <f t="shared" si="47"/>
        <v>4.6590180796181333E-3</v>
      </c>
      <c r="E628" s="2">
        <f t="shared" si="49"/>
        <v>5.6917975701430375E-2</v>
      </c>
      <c r="F628" s="2">
        <f t="shared" si="48"/>
        <v>-0.17046054238854239</v>
      </c>
      <c r="G628" s="2">
        <f t="shared" si="45"/>
        <v>-0.17046054238854239</v>
      </c>
    </row>
    <row r="629" spans="1:7" x14ac:dyDescent="0.25">
      <c r="A629" s="18">
        <v>12.52</v>
      </c>
      <c r="B629" s="2">
        <v>4.3720000000000002E-2</v>
      </c>
      <c r="C629" s="2">
        <f t="shared" si="46"/>
        <v>-8.7439999999999998</v>
      </c>
      <c r="D629" s="2">
        <f t="shared" si="47"/>
        <v>6.8314682868548188E-3</v>
      </c>
      <c r="E629" s="2">
        <f t="shared" si="49"/>
        <v>5.6015860604802563E-2</v>
      </c>
      <c r="F629" s="2">
        <f t="shared" si="48"/>
        <v>-0.24866404860564034</v>
      </c>
      <c r="G629" s="2">
        <f t="shared" si="45"/>
        <v>-0.24866404860564034</v>
      </c>
    </row>
    <row r="630" spans="1:7" x14ac:dyDescent="0.25">
      <c r="A630" s="18">
        <v>12.54</v>
      </c>
      <c r="B630" s="2">
        <v>2.1649999999999999E-2</v>
      </c>
      <c r="C630" s="2">
        <f t="shared" si="46"/>
        <v>-4.33</v>
      </c>
      <c r="D630" s="2">
        <f t="shared" si="47"/>
        <v>8.9044528746492473E-3</v>
      </c>
      <c r="E630" s="2">
        <f t="shared" si="49"/>
        <v>5.4311255180917138E-2</v>
      </c>
      <c r="F630" s="2">
        <f t="shared" si="48"/>
        <v>-0.28878358623948219</v>
      </c>
      <c r="G630" s="2">
        <f t="shared" si="45"/>
        <v>-0.28878358623948219</v>
      </c>
    </row>
    <row r="631" spans="1:7" x14ac:dyDescent="0.25">
      <c r="A631" s="18">
        <v>12.56</v>
      </c>
      <c r="B631" s="2">
        <v>-4.2000000000000002E-4</v>
      </c>
      <c r="C631" s="2">
        <f t="shared" si="46"/>
        <v>8.4000000000000005E-2</v>
      </c>
      <c r="D631" s="2">
        <f t="shared" si="47"/>
        <v>1.0861924027947884E-2</v>
      </c>
      <c r="E631" s="2">
        <f t="shared" si="49"/>
        <v>5.1824614694860709E-2</v>
      </c>
      <c r="F631" s="2">
        <f t="shared" si="48"/>
        <v>-0.32543772083843803</v>
      </c>
      <c r="G631" s="2">
        <f t="shared" si="45"/>
        <v>-0.32543772083843803</v>
      </c>
    </row>
    <row r="632" spans="1:7" x14ac:dyDescent="0.25">
      <c r="A632" s="18">
        <v>12.58</v>
      </c>
      <c r="B632" s="2">
        <v>-2.249E-2</v>
      </c>
      <c r="C632" s="2">
        <f t="shared" si="46"/>
        <v>4.4980000000000002</v>
      </c>
      <c r="D632" s="2">
        <f t="shared" si="47"/>
        <v>1.2689220092911145E-2</v>
      </c>
      <c r="E632" s="2">
        <f t="shared" si="49"/>
        <v>4.8936778832465909E-2</v>
      </c>
      <c r="F632" s="2">
        <f t="shared" si="48"/>
        <v>-0.35818660278733122</v>
      </c>
      <c r="G632" s="2">
        <f t="shared" si="45"/>
        <v>-0.35818660278733122</v>
      </c>
    </row>
    <row r="633" spans="1:7" x14ac:dyDescent="0.25">
      <c r="A633" s="18">
        <v>12.6</v>
      </c>
      <c r="B633" s="2">
        <v>-4.4560000000000002E-2</v>
      </c>
      <c r="C633" s="2">
        <f t="shared" si="46"/>
        <v>8.9120000000000008</v>
      </c>
      <c r="D633" s="2">
        <f t="shared" si="47"/>
        <v>1.4373241516759474E-2</v>
      </c>
      <c r="E633" s="2">
        <f t="shared" si="49"/>
        <v>4.5682401624081534E-2</v>
      </c>
      <c r="F633" s="2">
        <f t="shared" si="48"/>
        <v>-0.38663724550278694</v>
      </c>
      <c r="G633" s="2">
        <f t="shared" si="45"/>
        <v>-0.38663724550278694</v>
      </c>
    </row>
    <row r="634" spans="1:7" x14ac:dyDescent="0.25">
      <c r="A634" s="18">
        <v>12.62</v>
      </c>
      <c r="B634" s="2">
        <v>-3.6380000000000003E-2</v>
      </c>
      <c r="C634" s="2">
        <f t="shared" si="46"/>
        <v>7.2760000000000007</v>
      </c>
      <c r="D634" s="2">
        <f t="shared" si="47"/>
        <v>1.5902608042406688E-2</v>
      </c>
      <c r="E634" s="2">
        <f t="shared" si="49"/>
        <v>4.2100535596208216E-2</v>
      </c>
      <c r="F634" s="2">
        <f t="shared" si="48"/>
        <v>-0.44069824127220336</v>
      </c>
      <c r="G634" s="2">
        <f t="shared" si="45"/>
        <v>-0.44069824127220336</v>
      </c>
    </row>
    <row r="635" spans="1:7" x14ac:dyDescent="0.25">
      <c r="A635" s="18">
        <v>12.64</v>
      </c>
      <c r="B635" s="2">
        <v>-2.819E-2</v>
      </c>
      <c r="C635" s="2">
        <f t="shared" si="46"/>
        <v>5.6379999999999999</v>
      </c>
      <c r="D635" s="2">
        <f t="shared" si="47"/>
        <v>1.7255695271545021E-2</v>
      </c>
      <c r="E635" s="2">
        <f t="shared" si="49"/>
        <v>3.8234163141180347E-2</v>
      </c>
      <c r="F635" s="2">
        <f t="shared" si="48"/>
        <v>-0.48948085814636694</v>
      </c>
      <c r="G635" s="2">
        <f t="shared" si="45"/>
        <v>-0.48948085814636694</v>
      </c>
    </row>
    <row r="636" spans="1:7" x14ac:dyDescent="0.25">
      <c r="A636" s="18">
        <v>12.66</v>
      </c>
      <c r="B636" s="2">
        <v>-2.001E-2</v>
      </c>
      <c r="C636" s="2">
        <f t="shared" si="46"/>
        <v>4.0019999999999998</v>
      </c>
      <c r="D636" s="2">
        <f t="shared" si="47"/>
        <v>1.8412990157424806E-2</v>
      </c>
      <c r="E636" s="2">
        <f t="shared" si="49"/>
        <v>3.3827180728458313E-2</v>
      </c>
      <c r="F636" s="2">
        <f t="shared" si="48"/>
        <v>-0.53237970472274843</v>
      </c>
      <c r="G636" s="2">
        <f t="shared" si="45"/>
        <v>-0.53237970472274843</v>
      </c>
    </row>
    <row r="637" spans="1:7" x14ac:dyDescent="0.25">
      <c r="A637" s="18">
        <v>12.68</v>
      </c>
      <c r="B637" s="2">
        <v>-1.1820000000000001E-2</v>
      </c>
      <c r="C637" s="2">
        <f t="shared" si="46"/>
        <v>2.3640000000000003</v>
      </c>
      <c r="D637" s="2">
        <f t="shared" si="47"/>
        <v>1.9357333161415493E-2</v>
      </c>
      <c r="E637" s="2">
        <f t="shared" si="49"/>
        <v>2.8932372146994647E-2</v>
      </c>
      <c r="F637" s="2">
        <f t="shared" si="48"/>
        <v>-0.56889999484245435</v>
      </c>
      <c r="G637" s="2">
        <f t="shared" si="45"/>
        <v>-0.56889999484245435</v>
      </c>
    </row>
    <row r="638" spans="1:7" x14ac:dyDescent="0.25">
      <c r="A638" s="18">
        <v>12.7</v>
      </c>
      <c r="B638" s="2">
        <v>-2.445E-2</v>
      </c>
      <c r="C638" s="2">
        <f t="shared" si="46"/>
        <v>4.8899999999999997</v>
      </c>
      <c r="D638" s="2">
        <f t="shared" si="47"/>
        <v>2.0074116167469198E-2</v>
      </c>
      <c r="E638" s="2">
        <f t="shared" si="49"/>
        <v>2.3608575099767163E-2</v>
      </c>
      <c r="F638" s="2">
        <f t="shared" si="48"/>
        <v>-0.57777348502407666</v>
      </c>
      <c r="G638" s="2">
        <f t="shared" si="45"/>
        <v>-0.57777348502407666</v>
      </c>
    </row>
    <row r="639" spans="1:7" x14ac:dyDescent="0.25">
      <c r="A639" s="18">
        <v>12.72</v>
      </c>
      <c r="B639" s="2">
        <v>-3.7069999999999999E-2</v>
      </c>
      <c r="C639" s="2">
        <f t="shared" si="46"/>
        <v>7.4139999999999997</v>
      </c>
      <c r="D639" s="2">
        <f t="shared" si="47"/>
        <v>2.0559789779513272E-2</v>
      </c>
      <c r="E639" s="2">
        <f t="shared" si="49"/>
        <v>1.7919575151342619E-2</v>
      </c>
      <c r="F639" s="2">
        <f t="shared" si="48"/>
        <v>-0.57972369338539664</v>
      </c>
      <c r="G639" s="2">
        <f t="shared" si="45"/>
        <v>-0.57972369338539664</v>
      </c>
    </row>
    <row r="640" spans="1:7" x14ac:dyDescent="0.25">
      <c r="A640" s="18">
        <v>12.74</v>
      </c>
      <c r="B640" s="2">
        <v>-4.9689999999999998E-2</v>
      </c>
      <c r="C640" s="2">
        <f t="shared" si="46"/>
        <v>9.9379999999999988</v>
      </c>
      <c r="D640" s="2">
        <f t="shared" si="47"/>
        <v>2.0813573914203187E-2</v>
      </c>
      <c r="E640" s="2">
        <f t="shared" si="49"/>
        <v>1.2141840301101853E-2</v>
      </c>
      <c r="F640" s="2">
        <f t="shared" si="48"/>
        <v>-0.57471721742610027</v>
      </c>
      <c r="G640" s="2">
        <f t="shared" si="45"/>
        <v>-0.57471721742610027</v>
      </c>
    </row>
    <row r="641" spans="1:7" x14ac:dyDescent="0.25">
      <c r="A641" s="18">
        <v>12.76</v>
      </c>
      <c r="B641" s="2">
        <v>-5.8819999999999997E-2</v>
      </c>
      <c r="C641" s="2">
        <f t="shared" si="46"/>
        <v>11.763999999999999</v>
      </c>
      <c r="D641" s="2">
        <f t="shared" si="47"/>
        <v>2.0837471161922663E-2</v>
      </c>
      <c r="E641" s="2">
        <f t="shared" si="49"/>
        <v>6.3446033672478856E-3</v>
      </c>
      <c r="F641" s="2">
        <f t="shared" si="48"/>
        <v>-0.56630413485768416</v>
      </c>
      <c r="G641" s="2">
        <f t="shared" si="45"/>
        <v>-0.56630413485768416</v>
      </c>
    </row>
    <row r="642" spans="1:7" x14ac:dyDescent="0.25">
      <c r="A642" s="18">
        <v>12.78</v>
      </c>
      <c r="B642" s="2">
        <v>-6.7949999999999997E-2</v>
      </c>
      <c r="C642" s="2">
        <f t="shared" si="46"/>
        <v>13.59</v>
      </c>
      <c r="D642" s="2">
        <f t="shared" si="47"/>
        <v>2.0634846755699064E-2</v>
      </c>
      <c r="E642" s="2">
        <f t="shared" si="49"/>
        <v>5.9743119298688238E-4</v>
      </c>
      <c r="F642" s="2">
        <f t="shared" si="48"/>
        <v>-0.55109540267096913</v>
      </c>
      <c r="G642" s="2">
        <f t="shared" ref="G642:G705" si="50">HLOOKUP($Y$3,$B$1:$F$1562,ROW(),0)</f>
        <v>-0.55109540267096913</v>
      </c>
    </row>
    <row r="643" spans="1:7" x14ac:dyDescent="0.25">
      <c r="A643" s="18">
        <v>12.8</v>
      </c>
      <c r="B643" s="2">
        <v>-7.707E-2</v>
      </c>
      <c r="C643" s="2">
        <f t="shared" ref="C643:C706" si="51">-$M$4*B643</f>
        <v>15.414</v>
      </c>
      <c r="D643" s="2">
        <f t="shared" si="47"/>
        <v>2.0211784188407078E-2</v>
      </c>
      <c r="E643" s="2">
        <f t="shared" si="49"/>
        <v>-5.0656101555899592E-3</v>
      </c>
      <c r="F643" s="2">
        <f t="shared" si="48"/>
        <v>-0.52928352565221637</v>
      </c>
      <c r="G643" s="2">
        <f t="shared" si="50"/>
        <v>-0.52928352565221637</v>
      </c>
    </row>
    <row r="644" spans="1:7" x14ac:dyDescent="0.25">
      <c r="A644" s="18">
        <v>12.82</v>
      </c>
      <c r="B644" s="2">
        <v>-8.6199999999999999E-2</v>
      </c>
      <c r="C644" s="2">
        <f t="shared" si="51"/>
        <v>17.239999999999998</v>
      </c>
      <c r="D644" s="2">
        <f t="shared" ref="D644:D707" si="52">(C643-($Q$6*D643)-($Q$7*D642))/$Q$5</f>
        <v>1.9577008210854206E-2</v>
      </c>
      <c r="E644" s="2">
        <f t="shared" si="49"/>
        <v>-1.0576564182299651E-2</v>
      </c>
      <c r="F644" s="2">
        <f t="shared" ref="F644:F707" si="53">(D643-2*D644+D645)/($A$4^2)</f>
        <v>-0.50111024632560996</v>
      </c>
      <c r="G644" s="2">
        <f t="shared" si="50"/>
        <v>-0.50111024632560996</v>
      </c>
    </row>
    <row r="645" spans="1:7" x14ac:dyDescent="0.25">
      <c r="A645" s="18">
        <v>12.84</v>
      </c>
      <c r="B645" s="2">
        <v>-9.5329999999999998E-2</v>
      </c>
      <c r="C645" s="2">
        <f t="shared" si="51"/>
        <v>19.065999999999999</v>
      </c>
      <c r="D645" s="2">
        <f t="shared" si="52"/>
        <v>1.8741788134771089E-2</v>
      </c>
      <c r="E645" s="2">
        <f t="shared" ref="E645:E708" si="54">(D644-D643)/(2*$A$4)</f>
        <v>-1.5869399438821815E-2</v>
      </c>
      <c r="F645" s="2">
        <f t="shared" si="53"/>
        <v>-0.46692364404314102</v>
      </c>
      <c r="G645" s="2">
        <f t="shared" si="50"/>
        <v>-0.46692364404314102</v>
      </c>
    </row>
    <row r="646" spans="1:7" x14ac:dyDescent="0.25">
      <c r="A646" s="18">
        <v>12.86</v>
      </c>
      <c r="B646" s="2">
        <v>-6.2759999999999996E-2</v>
      </c>
      <c r="C646" s="2">
        <f t="shared" si="51"/>
        <v>12.552</v>
      </c>
      <c r="D646" s="2">
        <f t="shared" si="52"/>
        <v>1.7719798601070716E-2</v>
      </c>
      <c r="E646" s="2">
        <f t="shared" si="54"/>
        <v>-2.0880501902077915E-2</v>
      </c>
      <c r="F646" s="2">
        <f t="shared" si="53"/>
        <v>-0.46883395803213285</v>
      </c>
      <c r="G646" s="2">
        <f t="shared" si="50"/>
        <v>-0.46883395803213285</v>
      </c>
    </row>
    <row r="647" spans="1:7" x14ac:dyDescent="0.25">
      <c r="A647" s="18">
        <v>12.88</v>
      </c>
      <c r="B647" s="2">
        <v>-3.0179999999999998E-2</v>
      </c>
      <c r="C647" s="2">
        <f t="shared" si="51"/>
        <v>6.0359999999999996</v>
      </c>
      <c r="D647" s="2">
        <f t="shared" si="52"/>
        <v>1.651027548415749E-2</v>
      </c>
      <c r="E647" s="2">
        <f t="shared" si="54"/>
        <v>-2.5549738342509325E-2</v>
      </c>
      <c r="F647" s="2">
        <f t="shared" si="53"/>
        <v>-0.46512826452472283</v>
      </c>
      <c r="G647" s="2">
        <f t="shared" si="50"/>
        <v>-0.46512826452472283</v>
      </c>
    </row>
    <row r="648" spans="1:7" x14ac:dyDescent="0.25">
      <c r="A648" s="18">
        <v>12.9</v>
      </c>
      <c r="B648" s="2">
        <v>2.3900000000000002E-3</v>
      </c>
      <c r="C648" s="2">
        <f t="shared" si="51"/>
        <v>-0.47800000000000004</v>
      </c>
      <c r="D648" s="2">
        <f t="shared" si="52"/>
        <v>1.5114701061434374E-2</v>
      </c>
      <c r="E648" s="2">
        <f t="shared" si="54"/>
        <v>-3.0238077922830654E-2</v>
      </c>
      <c r="F648" s="2">
        <f t="shared" si="53"/>
        <v>-0.45583103184302759</v>
      </c>
      <c r="G648" s="2">
        <f t="shared" si="50"/>
        <v>-0.45583103184302759</v>
      </c>
    </row>
    <row r="649" spans="1:7" x14ac:dyDescent="0.25">
      <c r="A649" s="18">
        <v>12.92</v>
      </c>
      <c r="B649" s="2">
        <v>3.4959999999999998E-2</v>
      </c>
      <c r="C649" s="2">
        <f t="shared" si="51"/>
        <v>-6.992</v>
      </c>
      <c r="D649" s="2">
        <f t="shared" si="52"/>
        <v>1.3536794225974048E-2</v>
      </c>
      <c r="E649" s="2">
        <f t="shared" si="54"/>
        <v>-3.4889360568077885E-2</v>
      </c>
      <c r="F649" s="2">
        <f t="shared" si="53"/>
        <v>-0.4410638267792269</v>
      </c>
      <c r="G649" s="2">
        <f t="shared" si="50"/>
        <v>-0.4410638267792269</v>
      </c>
    </row>
    <row r="650" spans="1:7" x14ac:dyDescent="0.25">
      <c r="A650" s="18">
        <v>12.94</v>
      </c>
      <c r="B650" s="2">
        <v>4.3990000000000001E-2</v>
      </c>
      <c r="C650" s="2">
        <f t="shared" si="51"/>
        <v>-8.798</v>
      </c>
      <c r="D650" s="2">
        <f t="shared" si="52"/>
        <v>1.1782461859802031E-2</v>
      </c>
      <c r="E650" s="2">
        <f t="shared" si="54"/>
        <v>-3.9447670886508156E-2</v>
      </c>
      <c r="F650" s="2">
        <f t="shared" si="53"/>
        <v>-0.39746385579406301</v>
      </c>
      <c r="G650" s="2">
        <f t="shared" si="50"/>
        <v>-0.39746385579406301</v>
      </c>
    </row>
    <row r="651" spans="1:7" x14ac:dyDescent="0.25">
      <c r="A651" s="18">
        <v>12.96</v>
      </c>
      <c r="B651" s="2">
        <v>5.3010000000000002E-2</v>
      </c>
      <c r="C651" s="2">
        <f t="shared" si="51"/>
        <v>-10.602</v>
      </c>
      <c r="D651" s="2">
        <f t="shared" si="52"/>
        <v>9.8691439513123886E-3</v>
      </c>
      <c r="E651" s="2">
        <f t="shared" si="54"/>
        <v>-4.3858309154300425E-2</v>
      </c>
      <c r="F651" s="2">
        <f t="shared" si="53"/>
        <v>-0.34908431853937755</v>
      </c>
      <c r="G651" s="2">
        <f t="shared" si="50"/>
        <v>-0.34908431853937755</v>
      </c>
    </row>
    <row r="652" spans="1:7" x14ac:dyDescent="0.25">
      <c r="A652" s="18">
        <v>12.98</v>
      </c>
      <c r="B652" s="2">
        <v>3.1759999999999997E-2</v>
      </c>
      <c r="C652" s="2">
        <f t="shared" si="51"/>
        <v>-6.3519999999999994</v>
      </c>
      <c r="D652" s="2">
        <f t="shared" si="52"/>
        <v>7.8161923154069952E-3</v>
      </c>
      <c r="E652" s="2">
        <f t="shared" si="54"/>
        <v>-4.7832947712241058E-2</v>
      </c>
      <c r="F652" s="2">
        <f t="shared" si="53"/>
        <v>-0.26624576946220879</v>
      </c>
      <c r="G652" s="2">
        <f t="shared" si="50"/>
        <v>-0.26624576946220879</v>
      </c>
    </row>
    <row r="653" spans="1:7" x14ac:dyDescent="0.25">
      <c r="A653" s="18">
        <v>13</v>
      </c>
      <c r="B653" s="2">
        <v>1.051E-2</v>
      </c>
      <c r="C653" s="2">
        <f t="shared" si="51"/>
        <v>-2.1019999999999999</v>
      </c>
      <c r="D653" s="2">
        <f t="shared" si="52"/>
        <v>5.6567423717167184E-3</v>
      </c>
      <c r="E653" s="2">
        <f t="shared" si="54"/>
        <v>-5.1323790897634836E-2</v>
      </c>
      <c r="F653" s="2">
        <f t="shared" si="53"/>
        <v>-0.18021227115149938</v>
      </c>
      <c r="G653" s="2">
        <f t="shared" si="50"/>
        <v>-0.18021227115149938</v>
      </c>
    </row>
    <row r="654" spans="1:7" x14ac:dyDescent="0.25">
      <c r="A654" s="18">
        <v>13.02</v>
      </c>
      <c r="B654" s="2">
        <v>-1.073E-2</v>
      </c>
      <c r="C654" s="2">
        <f t="shared" si="51"/>
        <v>2.1459999999999999</v>
      </c>
      <c r="D654" s="2">
        <f t="shared" si="52"/>
        <v>3.4252075195658417E-3</v>
      </c>
      <c r="E654" s="2">
        <f t="shared" si="54"/>
        <v>-5.3986248592256918E-2</v>
      </c>
      <c r="F654" s="2">
        <f t="shared" si="53"/>
        <v>-9.2026225586973945E-2</v>
      </c>
      <c r="G654" s="2">
        <f t="shared" si="50"/>
        <v>-9.2026225586973945E-2</v>
      </c>
    </row>
    <row r="655" spans="1:7" x14ac:dyDescent="0.25">
      <c r="A655" s="18">
        <v>13.04</v>
      </c>
      <c r="B655" s="2">
        <v>-3.1980000000000001E-2</v>
      </c>
      <c r="C655" s="2">
        <f t="shared" si="51"/>
        <v>6.3959999999999999</v>
      </c>
      <c r="D655" s="2">
        <f t="shared" si="52"/>
        <v>1.1568621771801755E-3</v>
      </c>
      <c r="E655" s="2">
        <f t="shared" si="54"/>
        <v>-5.5788371303771914E-2</v>
      </c>
      <c r="F655" s="2">
        <f t="shared" si="53"/>
        <v>-2.72586531540513E-3</v>
      </c>
      <c r="G655" s="2">
        <f t="shared" si="50"/>
        <v>-2.72586531540513E-3</v>
      </c>
    </row>
    <row r="656" spans="1:7" x14ac:dyDescent="0.25">
      <c r="A656" s="18">
        <v>13.06</v>
      </c>
      <c r="B656" s="2">
        <v>-5.323E-2</v>
      </c>
      <c r="C656" s="2">
        <f t="shared" si="51"/>
        <v>10.646000000000001</v>
      </c>
      <c r="D656" s="2">
        <f t="shared" si="52"/>
        <v>-1.1125735113316527E-3</v>
      </c>
      <c r="E656" s="2">
        <f t="shared" si="54"/>
        <v>-5.6708633559641661E-2</v>
      </c>
      <c r="F656" s="2">
        <f t="shared" si="53"/>
        <v>8.660720533994952E-2</v>
      </c>
      <c r="G656" s="2">
        <f t="shared" si="50"/>
        <v>8.660720533994952E-2</v>
      </c>
    </row>
    <row r="657" spans="1:7" x14ac:dyDescent="0.25">
      <c r="A657" s="18">
        <v>13.08</v>
      </c>
      <c r="B657" s="2">
        <v>1.8600000000000001E-3</v>
      </c>
      <c r="C657" s="2">
        <f t="shared" si="51"/>
        <v>-0.372</v>
      </c>
      <c r="D657" s="2">
        <f t="shared" si="52"/>
        <v>-3.3473663177075014E-3</v>
      </c>
      <c r="E657" s="2">
        <f t="shared" si="54"/>
        <v>-5.6735892212795708E-2</v>
      </c>
      <c r="F657" s="2">
        <f t="shared" si="53"/>
        <v>9.8560989531225329E-2</v>
      </c>
      <c r="G657" s="2">
        <f t="shared" si="50"/>
        <v>9.8560989531225329E-2</v>
      </c>
    </row>
    <row r="658" spans="1:7" x14ac:dyDescent="0.25">
      <c r="A658" s="18">
        <v>13.1</v>
      </c>
      <c r="B658" s="2">
        <v>5.6959999999999997E-2</v>
      </c>
      <c r="C658" s="2">
        <f t="shared" si="51"/>
        <v>-11.391999999999999</v>
      </c>
      <c r="D658" s="2">
        <f t="shared" si="52"/>
        <v>-5.54273472827086E-3</v>
      </c>
      <c r="E658" s="2">
        <f t="shared" si="54"/>
        <v>-5.5869820159396219E-2</v>
      </c>
      <c r="F658" s="2">
        <f t="shared" si="53"/>
        <v>0.10932204184812676</v>
      </c>
      <c r="G658" s="2">
        <f t="shared" si="50"/>
        <v>0.10932204184812676</v>
      </c>
    </row>
    <row r="659" spans="1:7" x14ac:dyDescent="0.25">
      <c r="A659" s="18">
        <v>13.12</v>
      </c>
      <c r="B659" s="2">
        <v>1.985E-2</v>
      </c>
      <c r="C659" s="2">
        <f t="shared" si="51"/>
        <v>-3.9699999999999998</v>
      </c>
      <c r="D659" s="2">
        <f t="shared" si="52"/>
        <v>-7.6943743220949674E-3</v>
      </c>
      <c r="E659" s="2">
        <f t="shared" si="54"/>
        <v>-5.4884210264083966E-2</v>
      </c>
      <c r="F659" s="2">
        <f t="shared" si="53"/>
        <v>0.21098122966284499</v>
      </c>
      <c r="G659" s="2">
        <f t="shared" si="50"/>
        <v>0.21098122966284499</v>
      </c>
    </row>
    <row r="660" spans="1:7" x14ac:dyDescent="0.25">
      <c r="A660" s="18">
        <v>13.14</v>
      </c>
      <c r="B660" s="2">
        <v>-1.7260000000000001E-2</v>
      </c>
      <c r="C660" s="2">
        <f t="shared" si="51"/>
        <v>3.4520000000000004</v>
      </c>
      <c r="D660" s="2">
        <f t="shared" si="52"/>
        <v>-9.7616214240539359E-3</v>
      </c>
      <c r="E660" s="2">
        <f t="shared" si="54"/>
        <v>-5.3790989845602682E-2</v>
      </c>
      <c r="F660" s="2">
        <f t="shared" si="53"/>
        <v>0.31010864272161803</v>
      </c>
      <c r="G660" s="2">
        <f t="shared" si="50"/>
        <v>0.31010864272161803</v>
      </c>
    </row>
    <row r="661" spans="1:7" x14ac:dyDescent="0.25">
      <c r="A661" s="18">
        <v>13.16</v>
      </c>
      <c r="B661" s="2">
        <v>-5.4379999999999998E-2</v>
      </c>
      <c r="C661" s="2">
        <f t="shared" si="51"/>
        <v>10.875999999999999</v>
      </c>
      <c r="D661" s="2">
        <f t="shared" si="52"/>
        <v>-1.1704825068924257E-2</v>
      </c>
      <c r="E661" s="2">
        <f t="shared" si="54"/>
        <v>-5.1681177548974215E-2</v>
      </c>
      <c r="F661" s="2">
        <f t="shared" si="53"/>
        <v>0.40552475206772925</v>
      </c>
      <c r="G661" s="2">
        <f t="shared" si="50"/>
        <v>0.40552475206772925</v>
      </c>
    </row>
    <row r="662" spans="1:7" x14ac:dyDescent="0.25">
      <c r="A662" s="18">
        <v>13.18</v>
      </c>
      <c r="B662" s="2">
        <v>-1.204E-2</v>
      </c>
      <c r="C662" s="2">
        <f t="shared" si="51"/>
        <v>2.4079999999999999</v>
      </c>
      <c r="D662" s="2">
        <f t="shared" si="52"/>
        <v>-1.3485818812967487E-2</v>
      </c>
      <c r="E662" s="2">
        <f t="shared" si="54"/>
        <v>-4.8580091121758033E-2</v>
      </c>
      <c r="F662" s="2">
        <f t="shared" si="53"/>
        <v>0.41661456438901995</v>
      </c>
      <c r="G662" s="2">
        <f t="shared" si="50"/>
        <v>0.41661456438901995</v>
      </c>
    </row>
    <row r="663" spans="1:7" x14ac:dyDescent="0.25">
      <c r="A663" s="18">
        <v>13.2</v>
      </c>
      <c r="B663" s="2">
        <v>3.031E-2</v>
      </c>
      <c r="C663" s="2">
        <f t="shared" si="51"/>
        <v>-6.0620000000000003</v>
      </c>
      <c r="D663" s="2">
        <f t="shared" si="52"/>
        <v>-1.5100166731255108E-2</v>
      </c>
      <c r="E663" s="2">
        <f t="shared" si="54"/>
        <v>-4.4524843601080742E-2</v>
      </c>
      <c r="F663" s="2">
        <f t="shared" si="53"/>
        <v>0.42269500193765908</v>
      </c>
      <c r="G663" s="2">
        <f t="shared" si="50"/>
        <v>0.42269500193765908</v>
      </c>
    </row>
    <row r="664" spans="1:7" x14ac:dyDescent="0.25">
      <c r="A664" s="18">
        <v>13.22</v>
      </c>
      <c r="B664" s="2">
        <v>7.2650000000000006E-2</v>
      </c>
      <c r="C664" s="2">
        <f t="shared" si="51"/>
        <v>-14.530000000000001</v>
      </c>
      <c r="D664" s="2">
        <f t="shared" si="52"/>
        <v>-1.6545436648767668E-2</v>
      </c>
      <c r="E664" s="2">
        <f t="shared" si="54"/>
        <v>-4.0358697957190541E-2</v>
      </c>
      <c r="F664" s="2">
        <f t="shared" si="53"/>
        <v>0.42371309946304114</v>
      </c>
      <c r="G664" s="2">
        <f t="shared" si="50"/>
        <v>0.42371309946304114</v>
      </c>
    </row>
    <row r="665" spans="1:7" x14ac:dyDescent="0.25">
      <c r="A665" s="18">
        <v>13.24</v>
      </c>
      <c r="B665" s="2">
        <v>0.11498999999999999</v>
      </c>
      <c r="C665" s="2">
        <f t="shared" si="51"/>
        <v>-22.997999999999998</v>
      </c>
      <c r="D665" s="2">
        <f t="shared" si="52"/>
        <v>-1.782122132649501E-2</v>
      </c>
      <c r="E665" s="2">
        <f t="shared" si="54"/>
        <v>-3.6131747937813992E-2</v>
      </c>
      <c r="F665" s="2">
        <f t="shared" si="53"/>
        <v>0.41964663979485345</v>
      </c>
      <c r="G665" s="2">
        <f t="shared" si="50"/>
        <v>0.41964663979485345</v>
      </c>
    </row>
    <row r="666" spans="1:7" x14ac:dyDescent="0.25">
      <c r="A666" s="18">
        <v>13.26</v>
      </c>
      <c r="B666" s="2">
        <v>7.2370000000000004E-2</v>
      </c>
      <c r="C666" s="2">
        <f t="shared" si="51"/>
        <v>-14.474</v>
      </c>
      <c r="D666" s="2">
        <f t="shared" si="52"/>
        <v>-1.892914734830441E-2</v>
      </c>
      <c r="E666" s="2">
        <f t="shared" si="54"/>
        <v>-3.1894616943183539E-2</v>
      </c>
      <c r="F666" s="2">
        <f t="shared" si="53"/>
        <v>0.49550442044914328</v>
      </c>
      <c r="G666" s="2">
        <f t="shared" si="50"/>
        <v>0.49550442044914328</v>
      </c>
    </row>
    <row r="667" spans="1:7" x14ac:dyDescent="0.25">
      <c r="A667" s="18">
        <v>13.28</v>
      </c>
      <c r="B667" s="2">
        <v>2.9749999999999999E-2</v>
      </c>
      <c r="C667" s="2">
        <f t="shared" si="51"/>
        <v>-5.9499999999999993</v>
      </c>
      <c r="D667" s="2">
        <f t="shared" si="52"/>
        <v>-1.9838871601934153E-2</v>
      </c>
      <c r="E667" s="2">
        <f t="shared" si="54"/>
        <v>-2.7698150545235004E-2</v>
      </c>
      <c r="F667" s="2">
        <f t="shared" si="53"/>
        <v>0.56541614805801987</v>
      </c>
      <c r="G667" s="2">
        <f t="shared" si="50"/>
        <v>0.56541614805801987</v>
      </c>
    </row>
    <row r="668" spans="1:7" x14ac:dyDescent="0.25">
      <c r="A668" s="18">
        <v>13.3</v>
      </c>
      <c r="B668" s="2">
        <v>-1.2880000000000001E-2</v>
      </c>
      <c r="C668" s="2">
        <f t="shared" si="51"/>
        <v>2.5760000000000001</v>
      </c>
      <c r="D668" s="2">
        <f t="shared" si="52"/>
        <v>-2.0522429396340688E-2</v>
      </c>
      <c r="E668" s="2">
        <f t="shared" si="54"/>
        <v>-2.2743106340743571E-2</v>
      </c>
      <c r="F668" s="2">
        <f t="shared" si="53"/>
        <v>0.62855288189021807</v>
      </c>
      <c r="G668" s="2">
        <f t="shared" si="50"/>
        <v>0.62855288189021807</v>
      </c>
    </row>
    <row r="669" spans="1:7" x14ac:dyDescent="0.25">
      <c r="A669" s="18">
        <v>13.32</v>
      </c>
      <c r="B669" s="2">
        <v>1.2120000000000001E-2</v>
      </c>
      <c r="C669" s="2">
        <f t="shared" si="51"/>
        <v>-2.4239999999999999</v>
      </c>
      <c r="D669" s="2">
        <f t="shared" si="52"/>
        <v>-2.0954566037991135E-2</v>
      </c>
      <c r="E669" s="2">
        <f t="shared" si="54"/>
        <v>-1.7088944860163373E-2</v>
      </c>
      <c r="F669" s="2">
        <f t="shared" si="53"/>
        <v>0.61651698113973985</v>
      </c>
      <c r="G669" s="2">
        <f t="shared" si="50"/>
        <v>0.61651698113973985</v>
      </c>
    </row>
    <row r="670" spans="1:7" x14ac:dyDescent="0.25">
      <c r="A670" s="18">
        <v>13.34</v>
      </c>
      <c r="B670" s="2">
        <v>3.7109999999999997E-2</v>
      </c>
      <c r="C670" s="2">
        <f t="shared" si="51"/>
        <v>-7.4219999999999997</v>
      </c>
      <c r="D670" s="2">
        <f t="shared" si="52"/>
        <v>-2.1140095887185687E-2</v>
      </c>
      <c r="E670" s="2">
        <f t="shared" si="54"/>
        <v>-1.0803416041261192E-2</v>
      </c>
      <c r="F670" s="2">
        <f t="shared" si="53"/>
        <v>0.59709287661557564</v>
      </c>
      <c r="G670" s="2">
        <f t="shared" si="50"/>
        <v>0.59709287661557564</v>
      </c>
    </row>
    <row r="671" spans="1:7" x14ac:dyDescent="0.25">
      <c r="A671" s="18">
        <v>13.36</v>
      </c>
      <c r="B671" s="2">
        <v>3.517E-2</v>
      </c>
      <c r="C671" s="2">
        <f t="shared" si="51"/>
        <v>-7.0339999999999998</v>
      </c>
      <c r="D671" s="2">
        <f t="shared" si="52"/>
        <v>-2.1086788585734009E-2</v>
      </c>
      <c r="E671" s="2">
        <f t="shared" si="54"/>
        <v>-4.6382462298637933E-3</v>
      </c>
      <c r="F671" s="2">
        <f t="shared" si="53"/>
        <v>0.5974336575720155</v>
      </c>
      <c r="G671" s="2">
        <f t="shared" si="50"/>
        <v>0.5974336575720155</v>
      </c>
    </row>
    <row r="672" spans="1:7" x14ac:dyDescent="0.25">
      <c r="A672" s="18">
        <v>13.38</v>
      </c>
      <c r="B672" s="2">
        <v>3.3230000000000003E-2</v>
      </c>
      <c r="C672" s="2">
        <f t="shared" si="51"/>
        <v>-6.6460000000000008</v>
      </c>
      <c r="D672" s="2">
        <f t="shared" si="52"/>
        <v>-2.0794507821253524E-2</v>
      </c>
      <c r="E672" s="2">
        <f t="shared" si="54"/>
        <v>1.3326825362919639E-3</v>
      </c>
      <c r="F672" s="2">
        <f t="shared" si="53"/>
        <v>0.59060523463760717</v>
      </c>
      <c r="G672" s="2">
        <f t="shared" si="50"/>
        <v>0.59060523463760717</v>
      </c>
    </row>
    <row r="673" spans="1:7" x14ac:dyDescent="0.25">
      <c r="A673" s="18">
        <v>13.4</v>
      </c>
      <c r="B673" s="2">
        <v>1.8530000000000001E-2</v>
      </c>
      <c r="C673" s="2">
        <f t="shared" si="51"/>
        <v>-3.7060000000000004</v>
      </c>
      <c r="D673" s="2">
        <f t="shared" si="52"/>
        <v>-2.0265984962917996E-2</v>
      </c>
      <c r="E673" s="2">
        <f t="shared" si="54"/>
        <v>7.3070191120121197E-3</v>
      </c>
      <c r="F673" s="2">
        <f t="shared" si="53"/>
        <v>0.58944954888754875</v>
      </c>
      <c r="G673" s="2">
        <f t="shared" si="50"/>
        <v>0.58944954888754875</v>
      </c>
    </row>
    <row r="674" spans="1:7" x14ac:dyDescent="0.25">
      <c r="A674" s="18">
        <v>13.42</v>
      </c>
      <c r="B674" s="2">
        <v>3.8300000000000001E-3</v>
      </c>
      <c r="C674" s="2">
        <f t="shared" si="51"/>
        <v>-0.76600000000000001</v>
      </c>
      <c r="D674" s="2">
        <f t="shared" si="52"/>
        <v>-1.9501682285027449E-2</v>
      </c>
      <c r="E674" s="2">
        <f t="shared" si="54"/>
        <v>1.3213071458388192E-2</v>
      </c>
      <c r="F674" s="2">
        <f t="shared" si="53"/>
        <v>0.58122046855082177</v>
      </c>
      <c r="G674" s="2">
        <f t="shared" si="50"/>
        <v>0.58122046855082177</v>
      </c>
    </row>
    <row r="675" spans="1:7" x14ac:dyDescent="0.25">
      <c r="A675" s="18">
        <v>13.44</v>
      </c>
      <c r="B675" s="2">
        <v>3.4199999999999999E-3</v>
      </c>
      <c r="C675" s="2">
        <f t="shared" si="51"/>
        <v>-0.68399999999999994</v>
      </c>
      <c r="D675" s="2">
        <f t="shared" si="52"/>
        <v>-1.8504891419716573E-2</v>
      </c>
      <c r="E675" s="2">
        <f t="shared" si="54"/>
        <v>1.910756694726368E-2</v>
      </c>
      <c r="F675" s="2">
        <f t="shared" si="53"/>
        <v>0.55172674259149412</v>
      </c>
      <c r="G675" s="2">
        <f t="shared" si="50"/>
        <v>0.55172674259149412</v>
      </c>
    </row>
    <row r="676" spans="1:7" x14ac:dyDescent="0.25">
      <c r="A676" s="18">
        <v>13.46</v>
      </c>
      <c r="B676" s="2">
        <v>-2.181E-2</v>
      </c>
      <c r="C676" s="2">
        <f t="shared" si="51"/>
        <v>4.3620000000000001</v>
      </c>
      <c r="D676" s="2">
        <f t="shared" si="52"/>
        <v>-1.7287409857369099E-2</v>
      </c>
      <c r="E676" s="2">
        <f t="shared" si="54"/>
        <v>2.4919771632771898E-2</v>
      </c>
      <c r="F676" s="2">
        <f t="shared" si="53"/>
        <v>0.54043229572108864</v>
      </c>
      <c r="G676" s="2">
        <f t="shared" si="50"/>
        <v>0.54043229572108864</v>
      </c>
    </row>
    <row r="677" spans="1:7" x14ac:dyDescent="0.25">
      <c r="A677" s="18">
        <v>13.48</v>
      </c>
      <c r="B677" s="2">
        <v>-4.7039999999999998E-2</v>
      </c>
      <c r="C677" s="2">
        <f t="shared" si="51"/>
        <v>9.4079999999999995</v>
      </c>
      <c r="D677" s="2">
        <f t="shared" si="52"/>
        <v>-1.585375537673319E-2</v>
      </c>
      <c r="E677" s="2">
        <f t="shared" si="54"/>
        <v>3.0437039058686839E-2</v>
      </c>
      <c r="F677" s="2">
        <f t="shared" si="53"/>
        <v>0.52265266130199595</v>
      </c>
      <c r="G677" s="2">
        <f t="shared" si="50"/>
        <v>0.52265266130199595</v>
      </c>
    </row>
    <row r="678" spans="1:7" x14ac:dyDescent="0.25">
      <c r="A678" s="18">
        <v>13.5</v>
      </c>
      <c r="B678" s="2">
        <v>-7.2270000000000001E-2</v>
      </c>
      <c r="C678" s="2">
        <f t="shared" si="51"/>
        <v>14.454000000000001</v>
      </c>
      <c r="D678" s="2">
        <f t="shared" si="52"/>
        <v>-1.4211039831576483E-2</v>
      </c>
      <c r="E678" s="2">
        <f t="shared" si="54"/>
        <v>3.5841362015897722E-2</v>
      </c>
      <c r="F678" s="2">
        <f t="shared" si="53"/>
        <v>0.4986011949472931</v>
      </c>
      <c r="G678" s="2">
        <f t="shared" si="50"/>
        <v>0.4986011949472931</v>
      </c>
    </row>
    <row r="679" spans="1:7" x14ac:dyDescent="0.25">
      <c r="A679" s="18">
        <v>13.52</v>
      </c>
      <c r="B679" s="2">
        <v>-9.7500000000000003E-2</v>
      </c>
      <c r="C679" s="2">
        <f t="shared" si="51"/>
        <v>19.5</v>
      </c>
      <c r="D679" s="2">
        <f t="shared" si="52"/>
        <v>-1.2368883808440858E-2</v>
      </c>
      <c r="E679" s="2">
        <f t="shared" si="54"/>
        <v>4.1067888628917686E-2</v>
      </c>
      <c r="F679" s="2">
        <f t="shared" si="53"/>
        <v>0.46856651425322604</v>
      </c>
      <c r="G679" s="2">
        <f t="shared" si="50"/>
        <v>0.46856651425322604</v>
      </c>
    </row>
    <row r="680" spans="1:7" x14ac:dyDescent="0.25">
      <c r="A680" s="18">
        <v>13.54</v>
      </c>
      <c r="B680" s="2">
        <v>-0.12273000000000001</v>
      </c>
      <c r="C680" s="2">
        <f t="shared" si="51"/>
        <v>24.545999999999999</v>
      </c>
      <c r="D680" s="2">
        <f t="shared" si="52"/>
        <v>-1.0339301179603943E-2</v>
      </c>
      <c r="E680" s="2">
        <f t="shared" si="54"/>
        <v>4.6053900578390615E-2</v>
      </c>
      <c r="F680" s="2">
        <f t="shared" si="53"/>
        <v>0.43290903538811992</v>
      </c>
      <c r="G680" s="2">
        <f t="shared" si="50"/>
        <v>0.43290903538811992</v>
      </c>
    </row>
    <row r="681" spans="1:7" x14ac:dyDescent="0.25">
      <c r="A681" s="18">
        <v>13.56</v>
      </c>
      <c r="B681" s="2">
        <v>-8.3169999999999994E-2</v>
      </c>
      <c r="C681" s="2">
        <f t="shared" si="51"/>
        <v>16.634</v>
      </c>
      <c r="D681" s="2">
        <f t="shared" si="52"/>
        <v>-8.1365549366117802E-3</v>
      </c>
      <c r="E681" s="2">
        <f t="shared" si="54"/>
        <v>5.0739565720922877E-2</v>
      </c>
      <c r="F681" s="2">
        <f t="shared" si="53"/>
        <v>0.32726664809835065</v>
      </c>
      <c r="G681" s="2">
        <f t="shared" si="50"/>
        <v>0.32726664809835065</v>
      </c>
    </row>
    <row r="682" spans="1:7" x14ac:dyDescent="0.25">
      <c r="A682" s="18">
        <v>13.58</v>
      </c>
      <c r="B682" s="2">
        <v>-4.3619999999999999E-2</v>
      </c>
      <c r="C682" s="2">
        <f t="shared" si="51"/>
        <v>8.7240000000000002</v>
      </c>
      <c r="D682" s="2">
        <f t="shared" si="52"/>
        <v>-5.8029020343802768E-3</v>
      </c>
      <c r="E682" s="2">
        <f t="shared" si="54"/>
        <v>5.5068656074804073E-2</v>
      </c>
      <c r="F682" s="2">
        <f t="shared" si="53"/>
        <v>0.21770706103141074</v>
      </c>
      <c r="G682" s="2">
        <f t="shared" si="50"/>
        <v>0.21770706103141074</v>
      </c>
    </row>
    <row r="683" spans="1:7" x14ac:dyDescent="0.25">
      <c r="A683" s="18">
        <v>13.6</v>
      </c>
      <c r="B683" s="2">
        <v>-4.0699999999999998E-3</v>
      </c>
      <c r="C683" s="2">
        <f t="shared" si="51"/>
        <v>0.81399999999999995</v>
      </c>
      <c r="D683" s="2">
        <f t="shared" si="52"/>
        <v>-3.3821663077362092E-3</v>
      </c>
      <c r="E683" s="2">
        <f t="shared" si="54"/>
        <v>5.8341322555787584E-2</v>
      </c>
      <c r="F683" s="2">
        <f t="shared" si="53"/>
        <v>0.10553498923208525</v>
      </c>
      <c r="G683" s="2">
        <f t="shared" si="50"/>
        <v>0.10553498923208525</v>
      </c>
    </row>
    <row r="684" spans="1:7" x14ac:dyDescent="0.25">
      <c r="A684" s="18">
        <v>13.62</v>
      </c>
      <c r="B684" s="2">
        <v>3.5490000000000001E-2</v>
      </c>
      <c r="C684" s="2">
        <f t="shared" si="51"/>
        <v>-7.0979999999999999</v>
      </c>
      <c r="D684" s="2">
        <f t="shared" si="52"/>
        <v>-9.1921658539930741E-4</v>
      </c>
      <c r="E684" s="2">
        <f t="shared" si="54"/>
        <v>6.0518393166101692E-2</v>
      </c>
      <c r="F684" s="2">
        <f t="shared" si="53"/>
        <v>-7.9135024380210008E-3</v>
      </c>
      <c r="G684" s="2">
        <f t="shared" si="50"/>
        <v>-7.9135024380210008E-3</v>
      </c>
    </row>
    <row r="685" spans="1:7" x14ac:dyDescent="0.25">
      <c r="A685" s="18">
        <v>13.64</v>
      </c>
      <c r="B685" s="2">
        <v>7.5039999999999996E-2</v>
      </c>
      <c r="C685" s="2">
        <f t="shared" si="51"/>
        <v>-15.007999999999999</v>
      </c>
      <c r="D685" s="2">
        <f t="shared" si="52"/>
        <v>1.5405677359623859E-3</v>
      </c>
      <c r="E685" s="2">
        <f t="shared" si="54"/>
        <v>6.1573743058422545E-2</v>
      </c>
      <c r="F685" s="2">
        <f t="shared" si="53"/>
        <v>-0.12125703207887085</v>
      </c>
      <c r="G685" s="2">
        <f t="shared" si="50"/>
        <v>-0.12125703207887085</v>
      </c>
    </row>
    <row r="686" spans="1:7" x14ac:dyDescent="0.25">
      <c r="A686" s="18">
        <v>13.66</v>
      </c>
      <c r="B686" s="2">
        <v>0.11459999999999999</v>
      </c>
      <c r="C686" s="2">
        <f t="shared" si="51"/>
        <v>-22.919999999999998</v>
      </c>
      <c r="D686" s="2">
        <f t="shared" si="52"/>
        <v>3.9518492444925307E-3</v>
      </c>
      <c r="E686" s="2">
        <f t="shared" si="54"/>
        <v>6.1494608034042331E-2</v>
      </c>
      <c r="F686" s="2">
        <f t="shared" si="53"/>
        <v>-0.23315547733477593</v>
      </c>
      <c r="G686" s="2">
        <f t="shared" si="50"/>
        <v>-0.23315547733477593</v>
      </c>
    </row>
    <row r="687" spans="1:7" x14ac:dyDescent="0.25">
      <c r="A687" s="18">
        <v>13.68</v>
      </c>
      <c r="B687" s="2">
        <v>7.7689999999999995E-2</v>
      </c>
      <c r="C687" s="2">
        <f t="shared" si="51"/>
        <v>-15.537999999999998</v>
      </c>
      <c r="D687" s="2">
        <f t="shared" si="52"/>
        <v>6.2698685620887649E-3</v>
      </c>
      <c r="E687" s="2">
        <f t="shared" si="54"/>
        <v>6.0282037713253613E-2</v>
      </c>
      <c r="F687" s="2">
        <f t="shared" si="53"/>
        <v>-0.26578605686266088</v>
      </c>
      <c r="G687" s="2">
        <f t="shared" si="50"/>
        <v>-0.26578605686266088</v>
      </c>
    </row>
    <row r="688" spans="1:7" x14ac:dyDescent="0.25">
      <c r="A688" s="18">
        <v>13.7</v>
      </c>
      <c r="B688" s="2">
        <v>4.0779999999999997E-2</v>
      </c>
      <c r="C688" s="2">
        <f t="shared" si="51"/>
        <v>-8.1559999999999988</v>
      </c>
      <c r="D688" s="2">
        <f t="shared" si="52"/>
        <v>8.4815734569399347E-3</v>
      </c>
      <c r="E688" s="2">
        <f t="shared" si="54"/>
        <v>5.7950482939905852E-2</v>
      </c>
      <c r="F688" s="2">
        <f t="shared" si="53"/>
        <v>-0.29522720370819994</v>
      </c>
      <c r="G688" s="2">
        <f t="shared" si="50"/>
        <v>-0.29522720370819994</v>
      </c>
    </row>
    <row r="689" spans="1:7" x14ac:dyDescent="0.25">
      <c r="A689" s="18">
        <v>13.72</v>
      </c>
      <c r="B689" s="2">
        <v>3.8700000000000002E-3</v>
      </c>
      <c r="C689" s="2">
        <f t="shared" si="51"/>
        <v>-0.77400000000000002</v>
      </c>
      <c r="D689" s="2">
        <f t="shared" si="52"/>
        <v>1.0575187470307824E-2</v>
      </c>
      <c r="E689" s="2">
        <f t="shared" si="54"/>
        <v>5.5292622371279243E-2</v>
      </c>
      <c r="F689" s="2">
        <f t="shared" si="53"/>
        <v>-0.32112562410923323</v>
      </c>
      <c r="G689" s="2">
        <f t="shared" si="50"/>
        <v>-0.32112562410923323</v>
      </c>
    </row>
    <row r="690" spans="1:7" x14ac:dyDescent="0.25">
      <c r="A690" s="18">
        <v>13.74</v>
      </c>
      <c r="B690" s="2">
        <v>2.8400000000000001E-3</v>
      </c>
      <c r="C690" s="2">
        <f t="shared" si="51"/>
        <v>-0.56800000000000006</v>
      </c>
      <c r="D690" s="2">
        <f t="shared" si="52"/>
        <v>1.2540351234032019E-2</v>
      </c>
      <c r="E690" s="2">
        <f t="shared" si="54"/>
        <v>5.2340350334197226E-2</v>
      </c>
      <c r="F690" s="2">
        <f t="shared" si="53"/>
        <v>-0.37905053702095692</v>
      </c>
      <c r="G690" s="2">
        <f t="shared" si="50"/>
        <v>-0.37905053702095692</v>
      </c>
    </row>
    <row r="691" spans="1:7" x14ac:dyDescent="0.25">
      <c r="A691" s="18">
        <v>13.76</v>
      </c>
      <c r="B691" s="2">
        <v>1.82E-3</v>
      </c>
      <c r="C691" s="2">
        <f t="shared" si="51"/>
        <v>-0.36399999999999999</v>
      </c>
      <c r="D691" s="2">
        <f t="shared" si="52"/>
        <v>1.4353894782947832E-2</v>
      </c>
      <c r="E691" s="2">
        <f t="shared" si="54"/>
        <v>4.912909409310489E-2</v>
      </c>
      <c r="F691" s="2">
        <f t="shared" si="53"/>
        <v>-0.43243684348844186</v>
      </c>
      <c r="G691" s="2">
        <f t="shared" si="50"/>
        <v>-0.43243684348844186</v>
      </c>
    </row>
    <row r="692" spans="1:7" x14ac:dyDescent="0.25">
      <c r="A692" s="18">
        <v>13.78</v>
      </c>
      <c r="B692" s="2">
        <v>-5.5129999999999998E-2</v>
      </c>
      <c r="C692" s="2">
        <f t="shared" si="51"/>
        <v>11.026</v>
      </c>
      <c r="D692" s="2">
        <f t="shared" si="52"/>
        <v>1.599446359446827E-2</v>
      </c>
      <c r="E692" s="2">
        <f t="shared" si="54"/>
        <v>4.5338588722895319E-2</v>
      </c>
      <c r="F692" s="2">
        <f t="shared" si="53"/>
        <v>-0.42470390783405815</v>
      </c>
      <c r="G692" s="2">
        <f t="shared" si="50"/>
        <v>-0.42470390783405815</v>
      </c>
    </row>
    <row r="693" spans="1:7" x14ac:dyDescent="0.25">
      <c r="A693" s="18">
        <v>13.8</v>
      </c>
      <c r="B693" s="2">
        <v>4.7320000000000001E-2</v>
      </c>
      <c r="C693" s="2">
        <f t="shared" si="51"/>
        <v>-9.4640000000000004</v>
      </c>
      <c r="D693" s="2">
        <f t="shared" si="52"/>
        <v>1.7465150842855087E-2</v>
      </c>
      <c r="E693" s="2">
        <f t="shared" si="54"/>
        <v>4.1014220288010945E-2</v>
      </c>
      <c r="F693" s="2">
        <f t="shared" si="53"/>
        <v>-0.57127452528565537</v>
      </c>
      <c r="G693" s="2">
        <f t="shared" si="50"/>
        <v>-0.57127452528565537</v>
      </c>
    </row>
    <row r="694" spans="1:7" x14ac:dyDescent="0.25">
      <c r="A694" s="18">
        <v>13.82</v>
      </c>
      <c r="B694" s="2">
        <v>5.2229999999999999E-2</v>
      </c>
      <c r="C694" s="2">
        <f t="shared" si="51"/>
        <v>-10.446</v>
      </c>
      <c r="D694" s="2">
        <f t="shared" si="52"/>
        <v>1.8707328281127641E-2</v>
      </c>
      <c r="E694" s="2">
        <f t="shared" si="54"/>
        <v>3.6767181209670409E-2</v>
      </c>
      <c r="F694" s="2">
        <f t="shared" si="53"/>
        <v>-0.61344984843383554</v>
      </c>
      <c r="G694" s="2">
        <f t="shared" si="50"/>
        <v>-0.61344984843383554</v>
      </c>
    </row>
    <row r="695" spans="1:7" x14ac:dyDescent="0.25">
      <c r="A695" s="18">
        <v>13.84</v>
      </c>
      <c r="B695" s="2">
        <v>5.7149999999999999E-2</v>
      </c>
      <c r="C695" s="2">
        <f t="shared" si="51"/>
        <v>-11.43</v>
      </c>
      <c r="D695" s="2">
        <f t="shared" si="52"/>
        <v>1.9704125780026661E-2</v>
      </c>
      <c r="E695" s="2">
        <f t="shared" si="54"/>
        <v>3.1054435956813856E-2</v>
      </c>
      <c r="F695" s="2">
        <f t="shared" si="53"/>
        <v>-0.64827377340079262</v>
      </c>
      <c r="G695" s="2">
        <f t="shared" si="50"/>
        <v>-0.64827377340079262</v>
      </c>
    </row>
    <row r="696" spans="1:7" x14ac:dyDescent="0.25">
      <c r="A696" s="18">
        <v>13.86</v>
      </c>
      <c r="B696" s="2">
        <v>6.2059999999999997E-2</v>
      </c>
      <c r="C696" s="2">
        <f t="shared" si="51"/>
        <v>-12.411999999999999</v>
      </c>
      <c r="D696" s="2">
        <f t="shared" si="52"/>
        <v>2.0441613769565364E-2</v>
      </c>
      <c r="E696" s="2">
        <f t="shared" si="54"/>
        <v>2.4919937472475499E-2</v>
      </c>
      <c r="F696" s="2">
        <f t="shared" si="53"/>
        <v>-0.67530841308696854</v>
      </c>
      <c r="G696" s="2">
        <f t="shared" si="50"/>
        <v>-0.67530841308696854</v>
      </c>
    </row>
    <row r="697" spans="1:7" x14ac:dyDescent="0.25">
      <c r="A697" s="18">
        <v>13.88</v>
      </c>
      <c r="B697" s="2">
        <v>6.6979999999999998E-2</v>
      </c>
      <c r="C697" s="2">
        <f t="shared" si="51"/>
        <v>-13.395999999999999</v>
      </c>
      <c r="D697" s="2">
        <f t="shared" si="52"/>
        <v>2.0908978393869279E-2</v>
      </c>
      <c r="E697" s="2">
        <f t="shared" si="54"/>
        <v>1.8437199738467573E-2</v>
      </c>
      <c r="F697" s="2">
        <f t="shared" si="53"/>
        <v>-0.69424935181607716</v>
      </c>
      <c r="G697" s="2">
        <f t="shared" si="50"/>
        <v>-0.69424935181607716</v>
      </c>
    </row>
    <row r="698" spans="1:7" x14ac:dyDescent="0.25">
      <c r="A698" s="18">
        <v>13.9</v>
      </c>
      <c r="B698" s="2">
        <v>7.1889999999999996E-2</v>
      </c>
      <c r="C698" s="2">
        <f t="shared" si="51"/>
        <v>-14.377999999999998</v>
      </c>
      <c r="D698" s="2">
        <f t="shared" si="52"/>
        <v>2.1098643277446764E-2</v>
      </c>
      <c r="E698" s="2">
        <f t="shared" si="54"/>
        <v>1.1684115607597887E-2</v>
      </c>
      <c r="F698" s="2">
        <f t="shared" si="53"/>
        <v>-0.70484929832339593</v>
      </c>
      <c r="G698" s="2">
        <f t="shared" si="50"/>
        <v>-0.70484929832339593</v>
      </c>
    </row>
    <row r="699" spans="1:7" x14ac:dyDescent="0.25">
      <c r="A699" s="18">
        <v>13.92</v>
      </c>
      <c r="B699" s="2">
        <v>2.7050000000000001E-2</v>
      </c>
      <c r="C699" s="2">
        <f t="shared" si="51"/>
        <v>-5.41</v>
      </c>
      <c r="D699" s="2">
        <f t="shared" si="52"/>
        <v>2.100636844169489E-2</v>
      </c>
      <c r="E699" s="2">
        <f t="shared" si="54"/>
        <v>4.7416220894371149E-3</v>
      </c>
      <c r="F699" s="2">
        <f t="shared" si="53"/>
        <v>-0.65724105325084237</v>
      </c>
      <c r="G699" s="2">
        <f t="shared" si="50"/>
        <v>-0.65724105325084237</v>
      </c>
    </row>
    <row r="700" spans="1:7" x14ac:dyDescent="0.25">
      <c r="A700" s="18">
        <v>13.94</v>
      </c>
      <c r="B700" s="2">
        <v>-1.779E-2</v>
      </c>
      <c r="C700" s="2">
        <f t="shared" si="51"/>
        <v>3.5579999999999998</v>
      </c>
      <c r="D700" s="2">
        <f t="shared" si="52"/>
        <v>2.0651197184642679E-2</v>
      </c>
      <c r="E700" s="2">
        <f t="shared" si="54"/>
        <v>-2.3068708937968446E-3</v>
      </c>
      <c r="F700" s="2">
        <f t="shared" si="53"/>
        <v>-0.60174591553927015</v>
      </c>
      <c r="G700" s="2">
        <f t="shared" si="50"/>
        <v>-0.60174591553927015</v>
      </c>
    </row>
    <row r="701" spans="1:7" x14ac:dyDescent="0.25">
      <c r="A701" s="18">
        <v>13.96</v>
      </c>
      <c r="B701" s="2">
        <v>-6.2630000000000005E-2</v>
      </c>
      <c r="C701" s="2">
        <f t="shared" si="51"/>
        <v>12.526000000000002</v>
      </c>
      <c r="D701" s="2">
        <f t="shared" si="52"/>
        <v>2.005532756137476E-2</v>
      </c>
      <c r="E701" s="2">
        <f t="shared" si="54"/>
        <v>-8.8792814263052681E-3</v>
      </c>
      <c r="F701" s="2">
        <f t="shared" si="53"/>
        <v>-0.5390298268412308</v>
      </c>
      <c r="G701" s="2">
        <f t="shared" si="50"/>
        <v>-0.5390298268412308</v>
      </c>
    </row>
    <row r="702" spans="1:7" x14ac:dyDescent="0.25">
      <c r="A702" s="18">
        <v>13.98</v>
      </c>
      <c r="B702" s="2">
        <v>-0.10747</v>
      </c>
      <c r="C702" s="2">
        <f t="shared" si="51"/>
        <v>21.494</v>
      </c>
      <c r="D702" s="2">
        <f t="shared" si="52"/>
        <v>1.9243846007370349E-2</v>
      </c>
      <c r="E702" s="2">
        <f t="shared" si="54"/>
        <v>-1.489674058169797E-2</v>
      </c>
      <c r="F702" s="2">
        <f t="shared" si="53"/>
        <v>-0.46984538022112016</v>
      </c>
      <c r="G702" s="2">
        <f t="shared" si="50"/>
        <v>-0.46984538022112016</v>
      </c>
    </row>
    <row r="703" spans="1:7" x14ac:dyDescent="0.25">
      <c r="A703" s="18">
        <v>14</v>
      </c>
      <c r="B703" s="2">
        <v>-0.15232000000000001</v>
      </c>
      <c r="C703" s="2">
        <f t="shared" si="51"/>
        <v>30.464000000000002</v>
      </c>
      <c r="D703" s="2">
        <f t="shared" si="52"/>
        <v>1.824442630127749E-2</v>
      </c>
      <c r="E703" s="2">
        <f t="shared" si="54"/>
        <v>-2.0287038850110278E-2</v>
      </c>
      <c r="F703" s="2">
        <f t="shared" si="53"/>
        <v>-0.39501278903832265</v>
      </c>
      <c r="G703" s="2">
        <f t="shared" si="50"/>
        <v>-0.39501278903832265</v>
      </c>
    </row>
    <row r="704" spans="1:7" x14ac:dyDescent="0.25">
      <c r="A704" s="18">
        <v>14.02</v>
      </c>
      <c r="B704" s="2">
        <v>-0.12590999999999999</v>
      </c>
      <c r="C704" s="2">
        <f t="shared" si="51"/>
        <v>25.181999999999999</v>
      </c>
      <c r="D704" s="2">
        <f t="shared" si="52"/>
        <v>1.7087001479569302E-2</v>
      </c>
      <c r="E704" s="2">
        <f t="shared" si="54"/>
        <v>-2.498549265232148E-2</v>
      </c>
      <c r="F704" s="2">
        <f t="shared" si="53"/>
        <v>-0.3867000443870654</v>
      </c>
      <c r="G704" s="2">
        <f t="shared" si="50"/>
        <v>-0.3867000443870654</v>
      </c>
    </row>
    <row r="705" spans="1:7" x14ac:dyDescent="0.25">
      <c r="A705" s="18">
        <v>14.04</v>
      </c>
      <c r="B705" s="2">
        <v>-9.9500000000000005E-2</v>
      </c>
      <c r="C705" s="2">
        <f t="shared" si="51"/>
        <v>19.900000000000002</v>
      </c>
      <c r="D705" s="2">
        <f t="shared" si="52"/>
        <v>1.5774896640106287E-2</v>
      </c>
      <c r="E705" s="2">
        <f t="shared" si="54"/>
        <v>-2.8935620542704706E-2</v>
      </c>
      <c r="F705" s="2">
        <f t="shared" si="53"/>
        <v>-0.37374689920319398</v>
      </c>
      <c r="G705" s="2">
        <f t="shared" si="50"/>
        <v>-0.37374689920319398</v>
      </c>
    </row>
    <row r="706" spans="1:7" x14ac:dyDescent="0.25">
      <c r="A706" s="18">
        <v>14.06</v>
      </c>
      <c r="B706" s="2">
        <v>-7.3090000000000002E-2</v>
      </c>
      <c r="C706" s="2">
        <f t="shared" si="51"/>
        <v>14.618</v>
      </c>
      <c r="D706" s="2">
        <f t="shared" si="52"/>
        <v>1.4313293040961995E-2</v>
      </c>
      <c r="E706" s="2">
        <f t="shared" si="54"/>
        <v>-3.2802620986575361E-2</v>
      </c>
      <c r="F706" s="2">
        <f t="shared" si="53"/>
        <v>-0.35630879122886067</v>
      </c>
      <c r="G706" s="2">
        <f t="shared" ref="G706:G769" si="55">HLOOKUP($Y$3,$B$1:$F$1562,ROW(),0)</f>
        <v>-0.35630879122886067</v>
      </c>
    </row>
    <row r="707" spans="1:7" x14ac:dyDescent="0.25">
      <c r="A707" s="18">
        <v>14.08</v>
      </c>
      <c r="B707" s="2">
        <v>-4.6679999999999999E-2</v>
      </c>
      <c r="C707" s="2">
        <f t="shared" ref="C707:C770" si="56">-$M$4*B707</f>
        <v>9.3360000000000003</v>
      </c>
      <c r="D707" s="2">
        <f t="shared" si="52"/>
        <v>1.2709165925326159E-2</v>
      </c>
      <c r="E707" s="2">
        <f t="shared" si="54"/>
        <v>-3.6540089978607297E-2</v>
      </c>
      <c r="F707" s="2">
        <f t="shared" si="53"/>
        <v>-0.33459497775978858</v>
      </c>
      <c r="G707" s="2">
        <f t="shared" si="55"/>
        <v>-0.33459497775978858</v>
      </c>
    </row>
    <row r="708" spans="1:7" x14ac:dyDescent="0.25">
      <c r="A708" s="18">
        <v>14.1</v>
      </c>
      <c r="B708" s="2">
        <v>-2.027E-2</v>
      </c>
      <c r="C708" s="2">
        <f t="shared" si="56"/>
        <v>4.0540000000000003</v>
      </c>
      <c r="D708" s="2">
        <f t="shared" ref="D708:D771" si="57">(C707-($Q$6*D707)-($Q$7*D706))/$Q$5</f>
        <v>1.0971200818586407E-2</v>
      </c>
      <c r="E708" s="2">
        <f t="shared" si="54"/>
        <v>-4.0103177890895909E-2</v>
      </c>
      <c r="F708" s="2">
        <f t="shared" ref="F708:F771" si="58">(D707-2*D708+D709)/($A$4^2)</f>
        <v>-0.3088660245575926</v>
      </c>
      <c r="G708" s="2">
        <f t="shared" si="55"/>
        <v>-0.3088660245575926</v>
      </c>
    </row>
    <row r="709" spans="1:7" x14ac:dyDescent="0.25">
      <c r="A709" s="18">
        <v>14.12</v>
      </c>
      <c r="B709" s="2">
        <v>6.1399999999999996E-3</v>
      </c>
      <c r="C709" s="2">
        <f t="shared" si="56"/>
        <v>-1.228</v>
      </c>
      <c r="D709" s="2">
        <f t="shared" si="57"/>
        <v>9.1096893020236186E-3</v>
      </c>
      <c r="E709" s="2">
        <f t="shared" ref="E709:E772" si="59">(D708-D707)/(2*$A$4)</f>
        <v>-4.3449127668493792E-2</v>
      </c>
      <c r="F709" s="2">
        <f t="shared" si="58"/>
        <v>-0.27943067906070629</v>
      </c>
      <c r="G709" s="2">
        <f t="shared" si="55"/>
        <v>-0.27943067906070629</v>
      </c>
    </row>
    <row r="710" spans="1:7" x14ac:dyDescent="0.25">
      <c r="A710" s="18">
        <v>14.14</v>
      </c>
      <c r="B710" s="2">
        <v>3.2550000000000003E-2</v>
      </c>
      <c r="C710" s="2">
        <f t="shared" si="56"/>
        <v>-6.5100000000000007</v>
      </c>
      <c r="D710" s="2">
        <f t="shared" si="57"/>
        <v>7.1364055138365473E-3</v>
      </c>
      <c r="E710" s="2">
        <f t="shared" si="59"/>
        <v>-4.653778791406972E-2</v>
      </c>
      <c r="F710" s="2">
        <f t="shared" si="58"/>
        <v>-0.24664216541509529</v>
      </c>
      <c r="G710" s="2">
        <f t="shared" si="55"/>
        <v>-0.24664216541509529</v>
      </c>
    </row>
    <row r="711" spans="1:7" x14ac:dyDescent="0.25">
      <c r="A711" s="18">
        <v>14.16</v>
      </c>
      <c r="B711" s="2">
        <v>8.5900000000000004E-3</v>
      </c>
      <c r="C711" s="2">
        <f t="shared" si="56"/>
        <v>-1.718</v>
      </c>
      <c r="D711" s="2">
        <f t="shared" si="57"/>
        <v>5.0644648594834378E-3</v>
      </c>
      <c r="E711" s="2">
        <f t="shared" si="59"/>
        <v>-4.9332094704676782E-2</v>
      </c>
      <c r="F711" s="2">
        <f t="shared" si="58"/>
        <v>-0.16052394578450224</v>
      </c>
      <c r="G711" s="2">
        <f t="shared" si="55"/>
        <v>-0.16052394578450224</v>
      </c>
    </row>
    <row r="712" spans="1:7" x14ac:dyDescent="0.25">
      <c r="A712" s="18">
        <v>14.18</v>
      </c>
      <c r="B712" s="2">
        <v>-1.537E-2</v>
      </c>
      <c r="C712" s="2">
        <f t="shared" si="56"/>
        <v>3.0739999999999998</v>
      </c>
      <c r="D712" s="2">
        <f t="shared" si="57"/>
        <v>2.9283146268165275E-3</v>
      </c>
      <c r="E712" s="2">
        <f t="shared" si="59"/>
        <v>-5.1798516358827734E-2</v>
      </c>
      <c r="F712" s="2">
        <f t="shared" si="58"/>
        <v>-7.2479438804494881E-2</v>
      </c>
      <c r="G712" s="2">
        <f t="shared" si="55"/>
        <v>-7.2479438804494881E-2</v>
      </c>
    </row>
    <row r="713" spans="1:7" x14ac:dyDescent="0.25">
      <c r="A713" s="18">
        <v>14.2</v>
      </c>
      <c r="B713" s="2">
        <v>-3.9320000000000001E-2</v>
      </c>
      <c r="C713" s="2">
        <f t="shared" si="56"/>
        <v>7.8639999999999999</v>
      </c>
      <c r="D713" s="2">
        <f t="shared" si="57"/>
        <v>7.6317261862781922E-4</v>
      </c>
      <c r="E713" s="2">
        <f t="shared" si="59"/>
        <v>-5.3403755816672754E-2</v>
      </c>
      <c r="F713" s="2">
        <f t="shared" si="58"/>
        <v>1.642482144116619E-2</v>
      </c>
      <c r="G713" s="2">
        <f t="shared" si="55"/>
        <v>1.642482144116619E-2</v>
      </c>
    </row>
    <row r="714" spans="1:7" x14ac:dyDescent="0.25">
      <c r="A714" s="18">
        <v>14.22</v>
      </c>
      <c r="B714" s="2">
        <v>-6.3280000000000003E-2</v>
      </c>
      <c r="C714" s="2">
        <f t="shared" si="56"/>
        <v>12.656000000000001</v>
      </c>
      <c r="D714" s="2">
        <f t="shared" si="57"/>
        <v>-1.3953994609844226E-3</v>
      </c>
      <c r="E714" s="2">
        <f t="shared" si="59"/>
        <v>-5.4128550204717713E-2</v>
      </c>
      <c r="F714" s="2">
        <f t="shared" si="58"/>
        <v>0.10514198382953173</v>
      </c>
      <c r="G714" s="2">
        <f t="shared" si="55"/>
        <v>0.10514198382953173</v>
      </c>
    </row>
    <row r="715" spans="1:7" x14ac:dyDescent="0.25">
      <c r="A715" s="18">
        <v>14.24</v>
      </c>
      <c r="B715" s="2">
        <v>-3.322E-2</v>
      </c>
      <c r="C715" s="2">
        <f t="shared" si="56"/>
        <v>6.6440000000000001</v>
      </c>
      <c r="D715" s="2">
        <f t="shared" si="57"/>
        <v>-3.5119147470648515E-3</v>
      </c>
      <c r="E715" s="2">
        <f t="shared" si="59"/>
        <v>-5.3964301990306045E-2</v>
      </c>
      <c r="F715" s="2">
        <f t="shared" si="58"/>
        <v>0.13857744241194428</v>
      </c>
      <c r="G715" s="2">
        <f t="shared" si="55"/>
        <v>0.13857744241194428</v>
      </c>
    </row>
    <row r="716" spans="1:7" x14ac:dyDescent="0.25">
      <c r="A716" s="18">
        <v>14.26</v>
      </c>
      <c r="B716" s="2">
        <v>-3.15E-3</v>
      </c>
      <c r="C716" s="2">
        <f t="shared" si="56"/>
        <v>0.63</v>
      </c>
      <c r="D716" s="2">
        <f t="shared" si="57"/>
        <v>-5.5729990561805024E-3</v>
      </c>
      <c r="E716" s="2">
        <f t="shared" si="59"/>
        <v>-5.2912882152010718E-2</v>
      </c>
      <c r="F716" s="2">
        <f t="shared" si="58"/>
        <v>0.17033997168541598</v>
      </c>
      <c r="G716" s="2">
        <f t="shared" si="55"/>
        <v>0.17033997168541598</v>
      </c>
    </row>
    <row r="717" spans="1:7" x14ac:dyDescent="0.25">
      <c r="A717" s="18">
        <v>14.28</v>
      </c>
      <c r="B717" s="2">
        <v>2.691E-2</v>
      </c>
      <c r="C717" s="2">
        <f t="shared" si="56"/>
        <v>-5.3819999999999997</v>
      </c>
      <c r="D717" s="2">
        <f t="shared" si="57"/>
        <v>-7.565947376621987E-3</v>
      </c>
      <c r="E717" s="2">
        <f t="shared" si="59"/>
        <v>-5.1527107727891271E-2</v>
      </c>
      <c r="F717" s="2">
        <f t="shared" si="58"/>
        <v>0.20006842129865771</v>
      </c>
      <c r="G717" s="2">
        <f t="shared" si="55"/>
        <v>0.20006842129865771</v>
      </c>
    </row>
    <row r="718" spans="1:7" x14ac:dyDescent="0.25">
      <c r="A718" s="18">
        <v>14.3</v>
      </c>
      <c r="B718" s="2">
        <v>1.196E-2</v>
      </c>
      <c r="C718" s="2">
        <f t="shared" si="56"/>
        <v>-2.3919999999999999</v>
      </c>
      <c r="D718" s="2">
        <f t="shared" si="57"/>
        <v>-9.4788683285440076E-3</v>
      </c>
      <c r="E718" s="2">
        <f t="shared" si="59"/>
        <v>-4.982370801103711E-2</v>
      </c>
      <c r="F718" s="2">
        <f t="shared" si="58"/>
        <v>0.27240604985631894</v>
      </c>
      <c r="G718" s="2">
        <f t="shared" si="55"/>
        <v>0.27240604985631894</v>
      </c>
    </row>
    <row r="719" spans="1:7" x14ac:dyDescent="0.25">
      <c r="A719" s="18">
        <v>14.32</v>
      </c>
      <c r="B719" s="2">
        <v>-3.0000000000000001E-3</v>
      </c>
      <c r="C719" s="2">
        <f t="shared" si="56"/>
        <v>0.6</v>
      </c>
      <c r="D719" s="2">
        <f t="shared" si="57"/>
        <v>-1.1282826860523501E-2</v>
      </c>
      <c r="E719" s="2">
        <f t="shared" si="59"/>
        <v>-4.7823023798050514E-2</v>
      </c>
      <c r="F719" s="2">
        <f t="shared" si="58"/>
        <v>0.34148480581570534</v>
      </c>
      <c r="G719" s="2">
        <f t="shared" si="55"/>
        <v>0.34148480581570534</v>
      </c>
    </row>
    <row r="720" spans="1:7" x14ac:dyDescent="0.25">
      <c r="A720" s="18">
        <v>14.34</v>
      </c>
      <c r="B720" s="2">
        <v>3.3500000000000001E-3</v>
      </c>
      <c r="C720" s="2">
        <f t="shared" si="56"/>
        <v>-0.67</v>
      </c>
      <c r="D720" s="2">
        <f t="shared" si="57"/>
        <v>-1.2950191470176712E-2</v>
      </c>
      <c r="E720" s="2">
        <f t="shared" si="59"/>
        <v>-4.5098963299487323E-2</v>
      </c>
      <c r="F720" s="2">
        <f t="shared" si="58"/>
        <v>0.38515574410529807</v>
      </c>
      <c r="G720" s="2">
        <f t="shared" si="55"/>
        <v>0.38515574410529807</v>
      </c>
    </row>
    <row r="721" spans="1:7" x14ac:dyDescent="0.25">
      <c r="A721" s="18">
        <v>14.36</v>
      </c>
      <c r="B721" s="2">
        <v>9.7000000000000003E-3</v>
      </c>
      <c r="C721" s="2">
        <f t="shared" si="56"/>
        <v>-1.94</v>
      </c>
      <c r="D721" s="2">
        <f t="shared" si="57"/>
        <v>-1.4463493782187803E-2</v>
      </c>
      <c r="E721" s="2">
        <f t="shared" si="59"/>
        <v>-4.1684115241330269E-2</v>
      </c>
      <c r="F721" s="2">
        <f t="shared" si="58"/>
        <v>0.4242048134656291</v>
      </c>
      <c r="G721" s="2">
        <f t="shared" si="55"/>
        <v>0.4242048134656291</v>
      </c>
    </row>
    <row r="722" spans="1:7" x14ac:dyDescent="0.25">
      <c r="A722" s="18">
        <v>14.38</v>
      </c>
      <c r="B722" s="2">
        <v>1.6049999999999998E-2</v>
      </c>
      <c r="C722" s="2">
        <f t="shared" si="56"/>
        <v>-3.2099999999999995</v>
      </c>
      <c r="D722" s="2">
        <f t="shared" si="57"/>
        <v>-1.5807114168812642E-2</v>
      </c>
      <c r="E722" s="2">
        <f t="shared" si="59"/>
        <v>-3.7832557800277292E-2</v>
      </c>
      <c r="F722" s="2">
        <f t="shared" si="58"/>
        <v>0.45816342506438745</v>
      </c>
      <c r="G722" s="2">
        <f t="shared" si="55"/>
        <v>0.45816342506438745</v>
      </c>
    </row>
    <row r="723" spans="1:7" x14ac:dyDescent="0.25">
      <c r="A723" s="18">
        <v>14.4</v>
      </c>
      <c r="B723" s="2">
        <v>2.239E-2</v>
      </c>
      <c r="C723" s="2">
        <f t="shared" si="56"/>
        <v>-4.4779999999999998</v>
      </c>
      <c r="D723" s="2">
        <f t="shared" si="57"/>
        <v>-1.6967469185411727E-2</v>
      </c>
      <c r="E723" s="2">
        <f t="shared" si="59"/>
        <v>-3.3590509665620959E-2</v>
      </c>
      <c r="F723" s="2">
        <f t="shared" si="58"/>
        <v>0.4866340755623616</v>
      </c>
      <c r="G723" s="2">
        <f t="shared" si="55"/>
        <v>0.4866340755623616</v>
      </c>
    </row>
    <row r="724" spans="1:7" x14ac:dyDescent="0.25">
      <c r="A724" s="18">
        <v>14.42</v>
      </c>
      <c r="B724" s="2">
        <v>4.215E-2</v>
      </c>
      <c r="C724" s="2">
        <f t="shared" si="56"/>
        <v>-8.43</v>
      </c>
      <c r="D724" s="2">
        <f t="shared" si="57"/>
        <v>-1.7933170571785867E-2</v>
      </c>
      <c r="E724" s="2">
        <f t="shared" si="59"/>
        <v>-2.9008875414977126E-2</v>
      </c>
      <c r="F724" s="2">
        <f t="shared" si="58"/>
        <v>0.49584511715358537</v>
      </c>
      <c r="G724" s="2">
        <f t="shared" si="55"/>
        <v>0.49584511715358537</v>
      </c>
    </row>
    <row r="725" spans="1:7" x14ac:dyDescent="0.25">
      <c r="A725" s="18">
        <v>14.44</v>
      </c>
      <c r="B725" s="2">
        <v>6.191E-2</v>
      </c>
      <c r="C725" s="2">
        <f t="shared" si="56"/>
        <v>-12.382</v>
      </c>
      <c r="D725" s="2">
        <f t="shared" si="57"/>
        <v>-1.8700533911298573E-2</v>
      </c>
      <c r="E725" s="2">
        <f t="shared" si="59"/>
        <v>-2.414253465935351E-2</v>
      </c>
      <c r="F725" s="2">
        <f t="shared" si="58"/>
        <v>0.49910601733895582</v>
      </c>
      <c r="G725" s="2">
        <f t="shared" si="55"/>
        <v>0.49910601733895582</v>
      </c>
    </row>
    <row r="726" spans="1:7" x14ac:dyDescent="0.25">
      <c r="A726" s="18">
        <v>14.46</v>
      </c>
      <c r="B726" s="2">
        <v>8.1670000000000006E-2</v>
      </c>
      <c r="C726" s="2">
        <f t="shared" si="56"/>
        <v>-16.334</v>
      </c>
      <c r="D726" s="2">
        <f t="shared" si="57"/>
        <v>-1.9268254843875697E-2</v>
      </c>
      <c r="E726" s="2">
        <f t="shared" si="59"/>
        <v>-1.9184083487817655E-2</v>
      </c>
      <c r="F726" s="2">
        <f t="shared" si="58"/>
        <v>0.4963776453162892</v>
      </c>
      <c r="G726" s="2">
        <f t="shared" si="55"/>
        <v>0.4963776453162892</v>
      </c>
    </row>
    <row r="727" spans="1:7" x14ac:dyDescent="0.25">
      <c r="A727" s="18">
        <v>14.48</v>
      </c>
      <c r="B727" s="2">
        <v>3.4770000000000002E-2</v>
      </c>
      <c r="C727" s="2">
        <f t="shared" si="56"/>
        <v>-6.9540000000000006</v>
      </c>
      <c r="D727" s="2">
        <f t="shared" si="57"/>
        <v>-1.9637424718326305E-2</v>
      </c>
      <c r="E727" s="2">
        <f t="shared" si="59"/>
        <v>-1.4193023314428097E-2</v>
      </c>
      <c r="F727" s="2">
        <f t="shared" si="58"/>
        <v>0.55435274154978609</v>
      </c>
      <c r="G727" s="2">
        <f t="shared" si="55"/>
        <v>0.55435274154978609</v>
      </c>
    </row>
    <row r="728" spans="1:7" x14ac:dyDescent="0.25">
      <c r="A728" s="18">
        <v>14.5</v>
      </c>
      <c r="B728" s="2">
        <v>-1.2120000000000001E-2</v>
      </c>
      <c r="C728" s="2">
        <f t="shared" si="56"/>
        <v>2.4239999999999999</v>
      </c>
      <c r="D728" s="2">
        <f t="shared" si="57"/>
        <v>-1.9784853496156999E-2</v>
      </c>
      <c r="E728" s="2">
        <f t="shared" si="59"/>
        <v>-9.229246861265205E-3</v>
      </c>
      <c r="F728" s="2">
        <f t="shared" si="58"/>
        <v>0.60566560488470478</v>
      </c>
      <c r="G728" s="2">
        <f t="shared" si="55"/>
        <v>0.60566560488470478</v>
      </c>
    </row>
    <row r="729" spans="1:7" x14ac:dyDescent="0.25">
      <c r="A729" s="18">
        <v>14.52</v>
      </c>
      <c r="B729" s="2">
        <v>-1.3089999999999999E-2</v>
      </c>
      <c r="C729" s="2">
        <f t="shared" si="56"/>
        <v>2.6179999999999999</v>
      </c>
      <c r="D729" s="2">
        <f t="shared" si="57"/>
        <v>-1.9690016032033811E-2</v>
      </c>
      <c r="E729" s="2">
        <f t="shared" si="59"/>
        <v>-3.6857194457673437E-3</v>
      </c>
      <c r="F729" s="2">
        <f t="shared" si="58"/>
        <v>0.60379048096101917</v>
      </c>
      <c r="G729" s="2">
        <f t="shared" si="55"/>
        <v>0.60379048096101917</v>
      </c>
    </row>
    <row r="730" spans="1:7" x14ac:dyDescent="0.25">
      <c r="A730" s="18">
        <v>14.54</v>
      </c>
      <c r="B730" s="2">
        <v>-1.4069999999999999E-2</v>
      </c>
      <c r="C730" s="2">
        <f t="shared" si="56"/>
        <v>2.8140000000000001</v>
      </c>
      <c r="D730" s="2">
        <f t="shared" si="57"/>
        <v>-1.9353662375526215E-2</v>
      </c>
      <c r="E730" s="2">
        <f t="shared" si="59"/>
        <v>2.3709366030797048E-3</v>
      </c>
      <c r="F730" s="2">
        <f t="shared" si="58"/>
        <v>0.5946798712657807</v>
      </c>
      <c r="G730" s="2">
        <f t="shared" si="55"/>
        <v>0.5946798712657807</v>
      </c>
    </row>
    <row r="731" spans="1:7" x14ac:dyDescent="0.25">
      <c r="A731" s="18">
        <v>14.56</v>
      </c>
      <c r="B731" s="2">
        <v>-5.2740000000000002E-2</v>
      </c>
      <c r="C731" s="2">
        <f t="shared" si="56"/>
        <v>10.548</v>
      </c>
      <c r="D731" s="2">
        <f t="shared" si="57"/>
        <v>-1.8779436770512307E-2</v>
      </c>
      <c r="E731" s="2">
        <f t="shared" si="59"/>
        <v>8.4088414126898964E-3</v>
      </c>
      <c r="F731" s="2">
        <f t="shared" si="58"/>
        <v>0.61612310311536833</v>
      </c>
      <c r="G731" s="2">
        <f t="shared" si="55"/>
        <v>0.61612310311536833</v>
      </c>
    </row>
    <row r="732" spans="1:7" x14ac:dyDescent="0.25">
      <c r="A732" s="18">
        <v>14.58</v>
      </c>
      <c r="B732" s="2">
        <v>-2.5440000000000001E-2</v>
      </c>
      <c r="C732" s="2">
        <f t="shared" si="56"/>
        <v>5.0880000000000001</v>
      </c>
      <c r="D732" s="2">
        <f t="shared" si="57"/>
        <v>-1.7958761924252251E-2</v>
      </c>
      <c r="E732" s="2">
        <f t="shared" si="59"/>
        <v>1.4355640125347704E-2</v>
      </c>
      <c r="F732" s="2">
        <f t="shared" si="58"/>
        <v>0.56420285772757617</v>
      </c>
      <c r="G732" s="2">
        <f t="shared" si="55"/>
        <v>0.56420285772757617</v>
      </c>
    </row>
    <row r="733" spans="1:7" x14ac:dyDescent="0.25">
      <c r="A733" s="18">
        <v>14.6</v>
      </c>
      <c r="B733" s="2">
        <v>1.8600000000000001E-3</v>
      </c>
      <c r="C733" s="2">
        <f t="shared" si="56"/>
        <v>-0.372</v>
      </c>
      <c r="D733" s="2">
        <f t="shared" si="57"/>
        <v>-1.6912405934901165E-2</v>
      </c>
      <c r="E733" s="2">
        <f t="shared" si="59"/>
        <v>2.0516871156501387E-2</v>
      </c>
      <c r="F733" s="2">
        <f t="shared" si="58"/>
        <v>0.50551217804705062</v>
      </c>
      <c r="G733" s="2">
        <f t="shared" si="55"/>
        <v>0.50551217804705062</v>
      </c>
    </row>
    <row r="734" spans="1:7" x14ac:dyDescent="0.25">
      <c r="A734" s="18">
        <v>14.62</v>
      </c>
      <c r="B734" s="2">
        <v>2.9159999999999998E-2</v>
      </c>
      <c r="C734" s="2">
        <f t="shared" si="56"/>
        <v>-5.8319999999999999</v>
      </c>
      <c r="D734" s="2">
        <f t="shared" si="57"/>
        <v>-1.5663845074331259E-2</v>
      </c>
      <c r="E734" s="2">
        <f t="shared" si="59"/>
        <v>2.6158899733777149E-2</v>
      </c>
      <c r="F734" s="2">
        <f t="shared" si="58"/>
        <v>0.44075535222993717</v>
      </c>
      <c r="G734" s="2">
        <f t="shared" si="55"/>
        <v>0.44075535222993717</v>
      </c>
    </row>
    <row r="735" spans="1:7" x14ac:dyDescent="0.25">
      <c r="A735" s="18">
        <v>14.64</v>
      </c>
      <c r="B735" s="2">
        <v>5.6460000000000003E-2</v>
      </c>
      <c r="C735" s="2">
        <f t="shared" si="56"/>
        <v>-11.292</v>
      </c>
      <c r="D735" s="2">
        <f t="shared" si="57"/>
        <v>-1.4238982072869378E-2</v>
      </c>
      <c r="E735" s="2">
        <f t="shared" si="59"/>
        <v>3.1214021514247656E-2</v>
      </c>
      <c r="F735" s="2">
        <f t="shared" si="58"/>
        <v>0.37070946218607964</v>
      </c>
      <c r="G735" s="2">
        <f t="shared" si="55"/>
        <v>0.37070946218607964</v>
      </c>
    </row>
    <row r="736" spans="1:7" x14ac:dyDescent="0.25">
      <c r="A736" s="18">
        <v>14.66</v>
      </c>
      <c r="B736" s="2">
        <v>8.3760000000000001E-2</v>
      </c>
      <c r="C736" s="2">
        <f t="shared" si="56"/>
        <v>-16.751999999999999</v>
      </c>
      <c r="D736" s="2">
        <f t="shared" si="57"/>
        <v>-1.2665835286533065E-2</v>
      </c>
      <c r="E736" s="2">
        <f t="shared" si="59"/>
        <v>3.5621575036547025E-2</v>
      </c>
      <c r="F736" s="2">
        <f t="shared" si="58"/>
        <v>0.2962150585959864</v>
      </c>
      <c r="G736" s="2">
        <f t="shared" si="55"/>
        <v>0.2962150585959864</v>
      </c>
    </row>
    <row r="737" spans="1:7" x14ac:dyDescent="0.25">
      <c r="A737" s="18">
        <v>14.68</v>
      </c>
      <c r="B737" s="2">
        <v>1.754E-2</v>
      </c>
      <c r="C737" s="2">
        <f t="shared" si="56"/>
        <v>-3.508</v>
      </c>
      <c r="D737" s="2">
        <f t="shared" si="57"/>
        <v>-1.0974202476758357E-2</v>
      </c>
      <c r="E737" s="2">
        <f t="shared" si="59"/>
        <v>3.9328669658407825E-2</v>
      </c>
      <c r="F737" s="2">
        <f t="shared" si="58"/>
        <v>0.31168607430275602</v>
      </c>
      <c r="G737" s="2">
        <f t="shared" si="55"/>
        <v>0.31168607430275602</v>
      </c>
    </row>
    <row r="738" spans="1:7" x14ac:dyDescent="0.25">
      <c r="A738" s="18">
        <v>14.7</v>
      </c>
      <c r="B738" s="2">
        <v>-4.8689999999999997E-2</v>
      </c>
      <c r="C738" s="2">
        <f t="shared" si="56"/>
        <v>9.7379999999999995</v>
      </c>
      <c r="D738" s="2">
        <f t="shared" si="57"/>
        <v>-9.1578952372625474E-3</v>
      </c>
      <c r="E738" s="2">
        <f t="shared" si="59"/>
        <v>4.2290820244367686E-2</v>
      </c>
      <c r="F738" s="2">
        <f t="shared" si="58"/>
        <v>0.32342685711786923</v>
      </c>
      <c r="G738" s="2">
        <f t="shared" si="55"/>
        <v>0.32342685711786923</v>
      </c>
    </row>
    <row r="739" spans="1:7" x14ac:dyDescent="0.25">
      <c r="A739" s="18">
        <v>14.72</v>
      </c>
      <c r="B739" s="2">
        <v>-2.0740000000000001E-2</v>
      </c>
      <c r="C739" s="2">
        <f t="shared" si="56"/>
        <v>4.1480000000000006</v>
      </c>
      <c r="D739" s="2">
        <f t="shared" si="57"/>
        <v>-7.2122172549195897E-3</v>
      </c>
      <c r="E739" s="2">
        <f t="shared" si="59"/>
        <v>4.5407680987395248E-2</v>
      </c>
      <c r="F739" s="2">
        <f t="shared" si="58"/>
        <v>0.23710651764758836</v>
      </c>
      <c r="G739" s="2">
        <f t="shared" si="55"/>
        <v>0.23710651764758836</v>
      </c>
    </row>
    <row r="740" spans="1:7" x14ac:dyDescent="0.25">
      <c r="A740" s="18">
        <v>14.74</v>
      </c>
      <c r="B740" s="2">
        <v>7.2199999999999999E-3</v>
      </c>
      <c r="C740" s="2">
        <f t="shared" si="56"/>
        <v>-1.444</v>
      </c>
      <c r="D740" s="2">
        <f t="shared" si="57"/>
        <v>-5.1716966655175967E-3</v>
      </c>
      <c r="E740" s="2">
        <f t="shared" si="59"/>
        <v>4.8641949558573941E-2</v>
      </c>
      <c r="F740" s="2">
        <f t="shared" si="58"/>
        <v>0.14793089996552669</v>
      </c>
      <c r="G740" s="2">
        <f t="shared" si="55"/>
        <v>0.14793089996552669</v>
      </c>
    </row>
    <row r="741" spans="1:7" x14ac:dyDescent="0.25">
      <c r="A741" s="18">
        <v>14.76</v>
      </c>
      <c r="B741" s="2">
        <v>3.517E-2</v>
      </c>
      <c r="C741" s="2">
        <f t="shared" si="56"/>
        <v>-7.0339999999999998</v>
      </c>
      <c r="D741" s="2">
        <f t="shared" si="57"/>
        <v>-3.072003716129393E-3</v>
      </c>
      <c r="E741" s="2">
        <f t="shared" si="59"/>
        <v>5.1013014735049822E-2</v>
      </c>
      <c r="F741" s="2">
        <f t="shared" si="58"/>
        <v>5.6990111483879995E-2</v>
      </c>
      <c r="G741" s="2">
        <f t="shared" si="55"/>
        <v>5.6990111483879995E-2</v>
      </c>
    </row>
    <row r="742" spans="1:7" x14ac:dyDescent="0.25">
      <c r="A742" s="18">
        <v>14.78</v>
      </c>
      <c r="B742" s="2">
        <v>-5.28E-3</v>
      </c>
      <c r="C742" s="2">
        <f t="shared" si="56"/>
        <v>1.056</v>
      </c>
      <c r="D742" s="2">
        <f t="shared" si="57"/>
        <v>-9.4951472214763731E-4</v>
      </c>
      <c r="E742" s="2">
        <f t="shared" si="59"/>
        <v>5.2492323734705089E-2</v>
      </c>
      <c r="F742" s="2">
        <f t="shared" si="58"/>
        <v>3.3765441664429477E-2</v>
      </c>
      <c r="G742" s="2">
        <f t="shared" si="55"/>
        <v>3.3765441664429477E-2</v>
      </c>
    </row>
    <row r="743" spans="1:7" x14ac:dyDescent="0.25">
      <c r="A743" s="18">
        <v>14.8</v>
      </c>
      <c r="B743" s="2">
        <v>-4.5719999999999997E-2</v>
      </c>
      <c r="C743" s="2">
        <f t="shared" si="56"/>
        <v>9.1440000000000001</v>
      </c>
      <c r="D743" s="2">
        <f t="shared" si="57"/>
        <v>1.1864804484998902E-3</v>
      </c>
      <c r="E743" s="2">
        <f t="shared" si="59"/>
        <v>5.3062224849543899E-2</v>
      </c>
      <c r="F743" s="2">
        <f t="shared" si="58"/>
        <v>1.012558654500369E-2</v>
      </c>
      <c r="G743" s="2">
        <f t="shared" si="55"/>
        <v>1.012558654500369E-2</v>
      </c>
    </row>
    <row r="744" spans="1:7" x14ac:dyDescent="0.25">
      <c r="A744" s="18">
        <v>14.82</v>
      </c>
      <c r="B744" s="2">
        <v>-8.6169999999999997E-2</v>
      </c>
      <c r="C744" s="2">
        <f t="shared" si="56"/>
        <v>17.233999999999998</v>
      </c>
      <c r="D744" s="2">
        <f t="shared" si="57"/>
        <v>3.3265258537654189E-3</v>
      </c>
      <c r="E744" s="2">
        <f t="shared" si="59"/>
        <v>5.339987926618818E-2</v>
      </c>
      <c r="F744" s="2">
        <f t="shared" si="58"/>
        <v>-1.3625775612962927E-2</v>
      </c>
      <c r="G744" s="2">
        <f t="shared" si="55"/>
        <v>-1.3625775612962927E-2</v>
      </c>
    </row>
    <row r="745" spans="1:7" x14ac:dyDescent="0.25">
      <c r="A745" s="18">
        <v>14.84</v>
      </c>
      <c r="B745" s="2">
        <v>-6.9599999999999995E-2</v>
      </c>
      <c r="C745" s="2">
        <f t="shared" si="56"/>
        <v>13.919999999999998</v>
      </c>
      <c r="D745" s="2">
        <f t="shared" si="57"/>
        <v>5.4611209487857625E-3</v>
      </c>
      <c r="E745" s="2">
        <f t="shared" si="59"/>
        <v>5.3501135131638219E-2</v>
      </c>
      <c r="F745" s="2">
        <f t="shared" si="58"/>
        <v>-9.4233628463572833E-2</v>
      </c>
      <c r="G745" s="2">
        <f t="shared" si="55"/>
        <v>-9.4233628463572833E-2</v>
      </c>
    </row>
    <row r="746" spans="1:7" x14ac:dyDescent="0.25">
      <c r="A746" s="18">
        <v>14.86</v>
      </c>
      <c r="B746" s="2">
        <v>-5.3030000000000001E-2</v>
      </c>
      <c r="C746" s="2">
        <f t="shared" si="56"/>
        <v>10.606</v>
      </c>
      <c r="D746" s="2">
        <f t="shared" si="57"/>
        <v>7.5580225924206769E-3</v>
      </c>
      <c r="E746" s="2">
        <f t="shared" si="59"/>
        <v>5.3364877375508588E-2</v>
      </c>
      <c r="F746" s="2">
        <f t="shared" si="58"/>
        <v>-0.173710677772625</v>
      </c>
      <c r="G746" s="2">
        <f t="shared" si="55"/>
        <v>-0.173710677772625</v>
      </c>
    </row>
    <row r="747" spans="1:7" x14ac:dyDescent="0.25">
      <c r="A747" s="18">
        <v>14.88</v>
      </c>
      <c r="B747" s="2">
        <v>-3.6459999999999999E-2</v>
      </c>
      <c r="C747" s="2">
        <f t="shared" si="56"/>
        <v>7.2919999999999998</v>
      </c>
      <c r="D747" s="2">
        <f t="shared" si="57"/>
        <v>9.5854399649465405E-3</v>
      </c>
      <c r="E747" s="2">
        <f t="shared" si="59"/>
        <v>5.2422541090872861E-2</v>
      </c>
      <c r="F747" s="2">
        <f t="shared" si="58"/>
        <v>-0.25110319894840277</v>
      </c>
      <c r="G747" s="2">
        <f t="shared" si="55"/>
        <v>-0.25110319894840277</v>
      </c>
    </row>
    <row r="748" spans="1:7" x14ac:dyDescent="0.25">
      <c r="A748" s="18">
        <v>14.9</v>
      </c>
      <c r="B748" s="2">
        <v>-1.9890000000000001E-2</v>
      </c>
      <c r="C748" s="2">
        <f t="shared" si="56"/>
        <v>3.9780000000000002</v>
      </c>
      <c r="D748" s="2">
        <f t="shared" si="57"/>
        <v>1.1512416057893044E-2</v>
      </c>
      <c r="E748" s="2">
        <f t="shared" si="59"/>
        <v>5.0685434313146586E-2</v>
      </c>
      <c r="F748" s="2">
        <f t="shared" si="58"/>
        <v>-0.32548248173679822</v>
      </c>
      <c r="G748" s="2">
        <f t="shared" si="55"/>
        <v>-0.32548248173679822</v>
      </c>
    </row>
    <row r="749" spans="1:7" x14ac:dyDescent="0.25">
      <c r="A749" s="18">
        <v>14.92</v>
      </c>
      <c r="B749" s="2">
        <v>-3.32E-3</v>
      </c>
      <c r="C749" s="2">
        <f t="shared" si="56"/>
        <v>0.66400000000000003</v>
      </c>
      <c r="D749" s="2">
        <f t="shared" si="57"/>
        <v>1.3309199158144828E-2</v>
      </c>
      <c r="E749" s="2">
        <f t="shared" si="59"/>
        <v>4.8174402323662581E-2</v>
      </c>
      <c r="F749" s="2">
        <f t="shared" si="58"/>
        <v>-0.39595597474433986</v>
      </c>
      <c r="G749" s="2">
        <f t="shared" si="55"/>
        <v>-0.39595597474433986</v>
      </c>
    </row>
    <row r="750" spans="1:7" x14ac:dyDescent="0.25">
      <c r="A750" s="18">
        <v>14.94</v>
      </c>
      <c r="B750" s="2">
        <v>1.325E-2</v>
      </c>
      <c r="C750" s="2">
        <f t="shared" si="56"/>
        <v>-2.65</v>
      </c>
      <c r="D750" s="2">
        <f t="shared" si="57"/>
        <v>1.4947599868498876E-2</v>
      </c>
      <c r="E750" s="2">
        <f t="shared" si="59"/>
        <v>4.4919577506294599E-2</v>
      </c>
      <c r="F750" s="2">
        <f t="shared" si="58"/>
        <v>-0.46167799605496135</v>
      </c>
      <c r="G750" s="2">
        <f t="shared" si="55"/>
        <v>-0.46167799605496135</v>
      </c>
    </row>
    <row r="751" spans="1:7" x14ac:dyDescent="0.25">
      <c r="A751" s="18">
        <v>14.96</v>
      </c>
      <c r="B751" s="2">
        <v>2.9819999999999999E-2</v>
      </c>
      <c r="C751" s="2">
        <f t="shared" si="56"/>
        <v>-5.9639999999999995</v>
      </c>
      <c r="D751" s="2">
        <f t="shared" si="57"/>
        <v>1.6401329380430939E-2</v>
      </c>
      <c r="E751" s="2">
        <f t="shared" si="59"/>
        <v>4.0960017758851198E-2</v>
      </c>
      <c r="F751" s="2">
        <f t="shared" si="58"/>
        <v>-0.52185988141292483</v>
      </c>
      <c r="G751" s="2">
        <f t="shared" si="55"/>
        <v>-0.52185988141292483</v>
      </c>
    </row>
    <row r="752" spans="1:7" x14ac:dyDescent="0.25">
      <c r="A752" s="18">
        <v>14.98</v>
      </c>
      <c r="B752" s="2">
        <v>1.1010000000000001E-2</v>
      </c>
      <c r="C752" s="2">
        <f t="shared" si="56"/>
        <v>-2.202</v>
      </c>
      <c r="D752" s="2">
        <f t="shared" si="57"/>
        <v>1.7646314939797833E-2</v>
      </c>
      <c r="E752" s="2">
        <f t="shared" si="59"/>
        <v>3.6343237798301585E-2</v>
      </c>
      <c r="F752" s="2">
        <f t="shared" si="58"/>
        <v>-0.54039944819394248</v>
      </c>
      <c r="G752" s="2">
        <f t="shared" si="55"/>
        <v>-0.54039944819394248</v>
      </c>
    </row>
    <row r="753" spans="1:7" x14ac:dyDescent="0.25">
      <c r="A753" s="18">
        <v>15</v>
      </c>
      <c r="B753" s="2">
        <v>-7.8100000000000001E-3</v>
      </c>
      <c r="C753" s="2">
        <f t="shared" si="56"/>
        <v>1.5620000000000001</v>
      </c>
      <c r="D753" s="2">
        <f t="shared" si="57"/>
        <v>1.867514071988715E-2</v>
      </c>
      <c r="E753" s="2">
        <f t="shared" si="59"/>
        <v>3.112463898417234E-2</v>
      </c>
      <c r="F753" s="2">
        <f t="shared" si="58"/>
        <v>-0.55244422159659956</v>
      </c>
      <c r="G753" s="2">
        <f t="shared" si="55"/>
        <v>-0.55244422159659956</v>
      </c>
    </row>
    <row r="754" spans="1:7" x14ac:dyDescent="0.25">
      <c r="A754" s="18">
        <v>15.02</v>
      </c>
      <c r="B754" s="2">
        <v>-2.6620000000000001E-2</v>
      </c>
      <c r="C754" s="2">
        <f t="shared" si="56"/>
        <v>5.3239999999999998</v>
      </c>
      <c r="D754" s="2">
        <f t="shared" si="57"/>
        <v>1.9482988811337826E-2</v>
      </c>
      <c r="E754" s="2">
        <f t="shared" si="59"/>
        <v>2.5720644502232916E-2</v>
      </c>
      <c r="F754" s="2">
        <f t="shared" si="58"/>
        <v>-0.55786966434013052</v>
      </c>
      <c r="G754" s="2">
        <f t="shared" si="55"/>
        <v>-0.55786966434013052</v>
      </c>
    </row>
    <row r="755" spans="1:7" x14ac:dyDescent="0.25">
      <c r="A755" s="18">
        <v>15.04</v>
      </c>
      <c r="B755" s="2">
        <v>-5.6299999999999996E-3</v>
      </c>
      <c r="C755" s="2">
        <f t="shared" si="56"/>
        <v>1.1259999999999999</v>
      </c>
      <c r="D755" s="2">
        <f t="shared" si="57"/>
        <v>2.0067689037052451E-2</v>
      </c>
      <c r="E755" s="2">
        <f t="shared" si="59"/>
        <v>2.019620228626692E-2</v>
      </c>
      <c r="F755" s="2">
        <f t="shared" si="58"/>
        <v>-0.59640067111157469</v>
      </c>
      <c r="G755" s="2">
        <f t="shared" si="55"/>
        <v>-0.59640067111157469</v>
      </c>
    </row>
    <row r="756" spans="1:7" x14ac:dyDescent="0.25">
      <c r="A756" s="18">
        <v>15.06</v>
      </c>
      <c r="B756" s="2">
        <v>1.536E-2</v>
      </c>
      <c r="C756" s="2">
        <f t="shared" si="56"/>
        <v>-3.0720000000000001</v>
      </c>
      <c r="D756" s="2">
        <f t="shared" si="57"/>
        <v>2.0413828994322446E-2</v>
      </c>
      <c r="E756" s="2">
        <f t="shared" si="59"/>
        <v>1.4617505642865614E-2</v>
      </c>
      <c r="F756" s="2">
        <f t="shared" si="58"/>
        <v>-0.62777486982966946</v>
      </c>
      <c r="G756" s="2">
        <f t="shared" si="55"/>
        <v>-0.62777486982966946</v>
      </c>
    </row>
    <row r="757" spans="1:7" x14ac:dyDescent="0.25">
      <c r="A757" s="18">
        <v>15.08</v>
      </c>
      <c r="B757" s="2">
        <v>3.635E-2</v>
      </c>
      <c r="C757" s="2">
        <f t="shared" si="56"/>
        <v>-7.2700000000000005</v>
      </c>
      <c r="D757" s="2">
        <f t="shared" si="57"/>
        <v>2.0508859003660573E-2</v>
      </c>
      <c r="E757" s="2">
        <f t="shared" si="59"/>
        <v>8.6534989317498673E-3</v>
      </c>
      <c r="F757" s="2">
        <f t="shared" si="58"/>
        <v>-0.65161577010982608</v>
      </c>
      <c r="G757" s="2">
        <f t="shared" si="55"/>
        <v>-0.65161577010982608</v>
      </c>
    </row>
    <row r="758" spans="1:7" x14ac:dyDescent="0.25">
      <c r="A758" s="18">
        <v>15.1</v>
      </c>
      <c r="B758" s="2">
        <v>5.7340000000000002E-2</v>
      </c>
      <c r="C758" s="2">
        <f t="shared" si="56"/>
        <v>-11.468</v>
      </c>
      <c r="D758" s="2">
        <f t="shared" si="57"/>
        <v>2.0343242704954769E-2</v>
      </c>
      <c r="E758" s="2">
        <f t="shared" si="59"/>
        <v>2.3757502334531728E-3</v>
      </c>
      <c r="F758" s="2">
        <f t="shared" si="58"/>
        <v>-0.66763728114864473</v>
      </c>
      <c r="G758" s="2">
        <f t="shared" si="55"/>
        <v>-0.66763728114864473</v>
      </c>
    </row>
    <row r="759" spans="1:7" x14ac:dyDescent="0.25">
      <c r="A759" s="18">
        <v>15.12</v>
      </c>
      <c r="B759" s="2">
        <v>3.159E-2</v>
      </c>
      <c r="C759" s="2">
        <f t="shared" si="56"/>
        <v>-6.3179999999999996</v>
      </c>
      <c r="D759" s="2">
        <f t="shared" si="57"/>
        <v>1.9910571493789508E-2</v>
      </c>
      <c r="E759" s="2">
        <f t="shared" si="59"/>
        <v>-4.140407467645088E-3</v>
      </c>
      <c r="F759" s="2">
        <f t="shared" si="58"/>
        <v>-0.62890714481368504</v>
      </c>
      <c r="G759" s="2">
        <f t="shared" si="55"/>
        <v>-0.62890714481368504</v>
      </c>
    </row>
    <row r="760" spans="1:7" x14ac:dyDescent="0.25">
      <c r="A760" s="18">
        <v>15.14</v>
      </c>
      <c r="B760" s="2">
        <v>5.8399999999999997E-3</v>
      </c>
      <c r="C760" s="2">
        <f t="shared" si="56"/>
        <v>-1.1679999999999999</v>
      </c>
      <c r="D760" s="2">
        <f t="shared" si="57"/>
        <v>1.9226337424698772E-2</v>
      </c>
      <c r="E760" s="2">
        <f t="shared" si="59"/>
        <v>-1.0816780279131535E-2</v>
      </c>
      <c r="F760" s="2">
        <f t="shared" si="58"/>
        <v>-0.58263012274096904</v>
      </c>
      <c r="G760" s="2">
        <f t="shared" si="55"/>
        <v>-0.58263012274096904</v>
      </c>
    </row>
    <row r="761" spans="1:7" x14ac:dyDescent="0.25">
      <c r="A761" s="18">
        <v>15.16</v>
      </c>
      <c r="B761" s="2">
        <v>-1.992E-2</v>
      </c>
      <c r="C761" s="2">
        <f t="shared" si="56"/>
        <v>3.984</v>
      </c>
      <c r="D761" s="2">
        <f t="shared" si="57"/>
        <v>1.8309051306511649E-2</v>
      </c>
      <c r="E761" s="2">
        <f t="shared" si="59"/>
        <v>-1.7105851727268386E-2</v>
      </c>
      <c r="F761" s="2">
        <f t="shared" si="58"/>
        <v>-0.52935153919535582</v>
      </c>
      <c r="G761" s="2">
        <f t="shared" si="55"/>
        <v>-0.52935153919535582</v>
      </c>
    </row>
    <row r="762" spans="1:7" x14ac:dyDescent="0.25">
      <c r="A762" s="18">
        <v>15.18</v>
      </c>
      <c r="B762" s="2">
        <v>-2.0100000000000001E-3</v>
      </c>
      <c r="C762" s="2">
        <f t="shared" si="56"/>
        <v>0.40200000000000002</v>
      </c>
      <c r="D762" s="2">
        <f t="shared" si="57"/>
        <v>1.7180024572646384E-2</v>
      </c>
      <c r="E762" s="2">
        <f t="shared" si="59"/>
        <v>-2.2932152954678077E-2</v>
      </c>
      <c r="F762" s="2">
        <f t="shared" si="58"/>
        <v>-0.51339073717939809</v>
      </c>
      <c r="G762" s="2">
        <f t="shared" si="55"/>
        <v>-0.51339073717939809</v>
      </c>
    </row>
    <row r="763" spans="1:7" x14ac:dyDescent="0.25">
      <c r="A763" s="18">
        <v>15.2</v>
      </c>
      <c r="B763" s="2">
        <v>1.5890000000000001E-2</v>
      </c>
      <c r="C763" s="2">
        <f t="shared" si="56"/>
        <v>-3.1780000000000004</v>
      </c>
      <c r="D763" s="2">
        <f t="shared" si="57"/>
        <v>1.5845641543909359E-2</v>
      </c>
      <c r="E763" s="2">
        <f t="shared" si="59"/>
        <v>-2.8225668346631635E-2</v>
      </c>
      <c r="F763" s="2">
        <f t="shared" si="58"/>
        <v>-0.49125924631728074</v>
      </c>
      <c r="G763" s="2">
        <f t="shared" si="55"/>
        <v>-0.49125924631728074</v>
      </c>
    </row>
    <row r="764" spans="1:7" x14ac:dyDescent="0.25">
      <c r="A764" s="18">
        <v>15.22</v>
      </c>
      <c r="B764" s="2">
        <v>-1.0240000000000001E-2</v>
      </c>
      <c r="C764" s="2">
        <f t="shared" si="56"/>
        <v>2.048</v>
      </c>
      <c r="D764" s="2">
        <f t="shared" si="57"/>
        <v>1.4314754816645422E-2</v>
      </c>
      <c r="E764" s="2">
        <f t="shared" si="59"/>
        <v>-3.3359575718425613E-2</v>
      </c>
      <c r="F764" s="2">
        <f t="shared" si="58"/>
        <v>-0.41920264449935885</v>
      </c>
      <c r="G764" s="2">
        <f t="shared" si="55"/>
        <v>-0.41920264449935885</v>
      </c>
    </row>
    <row r="765" spans="1:7" x14ac:dyDescent="0.25">
      <c r="A765" s="18">
        <v>15.24</v>
      </c>
      <c r="B765" s="2">
        <v>-3.6360000000000003E-2</v>
      </c>
      <c r="C765" s="2">
        <f t="shared" si="56"/>
        <v>7.2720000000000002</v>
      </c>
      <c r="D765" s="2">
        <f t="shared" si="57"/>
        <v>1.2616187031581742E-2</v>
      </c>
      <c r="E765" s="2">
        <f t="shared" si="59"/>
        <v>-3.8272168181598426E-2</v>
      </c>
      <c r="F765" s="2">
        <f t="shared" si="58"/>
        <v>-0.34212561094744925</v>
      </c>
      <c r="G765" s="2">
        <f t="shared" si="55"/>
        <v>-0.34212561094744925</v>
      </c>
    </row>
    <row r="766" spans="1:7" x14ac:dyDescent="0.25">
      <c r="A766" s="18">
        <v>15.26</v>
      </c>
      <c r="B766" s="2">
        <v>-6.2489999999999997E-2</v>
      </c>
      <c r="C766" s="2">
        <f t="shared" si="56"/>
        <v>12.497999999999999</v>
      </c>
      <c r="D766" s="2">
        <f t="shared" si="57"/>
        <v>1.0780769002139081E-2</v>
      </c>
      <c r="E766" s="2">
        <f t="shared" si="59"/>
        <v>-4.2464194626592011E-2</v>
      </c>
      <c r="F766" s="2">
        <f t="shared" si="58"/>
        <v>-0.26093307006417721</v>
      </c>
      <c r="G766" s="2">
        <f t="shared" si="55"/>
        <v>-0.26093307006417721</v>
      </c>
    </row>
    <row r="767" spans="1:7" x14ac:dyDescent="0.25">
      <c r="A767" s="18">
        <v>15.28</v>
      </c>
      <c r="B767" s="2">
        <v>-4.7800000000000002E-2</v>
      </c>
      <c r="C767" s="2">
        <f t="shared" si="56"/>
        <v>9.56</v>
      </c>
      <c r="D767" s="2">
        <f t="shared" si="57"/>
        <v>8.8409777446707503E-3</v>
      </c>
      <c r="E767" s="2">
        <f t="shared" si="59"/>
        <v>-4.5885450736066508E-2</v>
      </c>
      <c r="F767" s="2">
        <f t="shared" si="58"/>
        <v>-0.2174293323401236</v>
      </c>
      <c r="G767" s="2">
        <f t="shared" si="55"/>
        <v>-0.2174293323401236</v>
      </c>
    </row>
    <row r="768" spans="1:7" x14ac:dyDescent="0.25">
      <c r="A768" s="18">
        <v>15.3</v>
      </c>
      <c r="B768" s="2">
        <v>-3.3110000000000001E-2</v>
      </c>
      <c r="C768" s="2">
        <f t="shared" si="56"/>
        <v>6.6219999999999999</v>
      </c>
      <c r="D768" s="2">
        <f t="shared" si="57"/>
        <v>6.8142147542663697E-3</v>
      </c>
      <c r="E768" s="2">
        <f t="shared" si="59"/>
        <v>-4.8494781436708274E-2</v>
      </c>
      <c r="F768" s="2">
        <f t="shared" si="58"/>
        <v>-0.17131644262799015</v>
      </c>
      <c r="G768" s="2">
        <f t="shared" si="55"/>
        <v>-0.17131644262799015</v>
      </c>
    </row>
    <row r="769" spans="1:7" x14ac:dyDescent="0.25">
      <c r="A769" s="18">
        <v>15.32</v>
      </c>
      <c r="B769" s="2">
        <v>-4.9410000000000003E-2</v>
      </c>
      <c r="C769" s="2">
        <f t="shared" si="56"/>
        <v>9.8819999999999997</v>
      </c>
      <c r="D769" s="2">
        <f t="shared" si="57"/>
        <v>4.7189251868107931E-3</v>
      </c>
      <c r="E769" s="2">
        <f t="shared" si="59"/>
        <v>-5.0669074760109512E-2</v>
      </c>
      <c r="F769" s="2">
        <f t="shared" si="58"/>
        <v>-9.215775560432525E-2</v>
      </c>
      <c r="G769" s="2">
        <f t="shared" si="55"/>
        <v>-9.215775560432525E-2</v>
      </c>
    </row>
    <row r="770" spans="1:7" x14ac:dyDescent="0.25">
      <c r="A770" s="18">
        <v>15.34</v>
      </c>
      <c r="B770" s="2">
        <v>-6.5699999999999995E-2</v>
      </c>
      <c r="C770" s="2">
        <f t="shared" si="56"/>
        <v>13.139999999999999</v>
      </c>
      <c r="D770" s="2">
        <f t="shared" si="57"/>
        <v>2.5867725171134863E-3</v>
      </c>
      <c r="E770" s="2">
        <f t="shared" si="59"/>
        <v>-5.2382239186389415E-2</v>
      </c>
      <c r="F770" s="2">
        <f t="shared" si="58"/>
        <v>-1.1903175513406038E-2</v>
      </c>
      <c r="G770" s="2">
        <f t="shared" ref="G770:G833" si="60">HLOOKUP($Y$3,$B$1:$F$1562,ROW(),0)</f>
        <v>-1.1903175513406038E-2</v>
      </c>
    </row>
    <row r="771" spans="1:7" x14ac:dyDescent="0.25">
      <c r="A771" s="18">
        <v>15.36</v>
      </c>
      <c r="B771" s="2">
        <v>-8.2000000000000003E-2</v>
      </c>
      <c r="C771" s="2">
        <f t="shared" ref="C771:C834" si="61">-$M$4*B771</f>
        <v>16.400000000000002</v>
      </c>
      <c r="D771" s="2">
        <f t="shared" si="57"/>
        <v>4.498585772108172E-4</v>
      </c>
      <c r="E771" s="2">
        <f t="shared" si="59"/>
        <v>-5.3303816742432668E-2</v>
      </c>
      <c r="F771" s="2">
        <f t="shared" si="58"/>
        <v>6.8504242683675928E-2</v>
      </c>
      <c r="G771" s="2">
        <f t="shared" si="60"/>
        <v>6.8504242683675928E-2</v>
      </c>
    </row>
    <row r="772" spans="1:7" x14ac:dyDescent="0.25">
      <c r="A772" s="18">
        <v>15.38</v>
      </c>
      <c r="B772" s="2">
        <v>-4.9799999999999997E-2</v>
      </c>
      <c r="C772" s="2">
        <f t="shared" si="61"/>
        <v>9.9599999999999991</v>
      </c>
      <c r="D772" s="2">
        <f t="shared" ref="D772:D835" si="62">(C771-($Q$6*D771)-($Q$7*D770))/$Q$5</f>
        <v>-1.6596536656183817E-3</v>
      </c>
      <c r="E772" s="2">
        <f t="shared" si="59"/>
        <v>-5.3422848497566726E-2</v>
      </c>
      <c r="F772" s="2">
        <f t="shared" ref="F772:F835" si="63">(D771-2*D772+D773)/($A$4^2)</f>
        <v>9.9589609968551332E-2</v>
      </c>
      <c r="G772" s="2">
        <f t="shared" si="60"/>
        <v>9.9589609968551332E-2</v>
      </c>
    </row>
    <row r="773" spans="1:7" x14ac:dyDescent="0.25">
      <c r="A773" s="18">
        <v>15.4</v>
      </c>
      <c r="B773" s="2">
        <v>-1.7600000000000001E-2</v>
      </c>
      <c r="C773" s="2">
        <f t="shared" si="61"/>
        <v>3.52</v>
      </c>
      <c r="D773" s="2">
        <f t="shared" si="62"/>
        <v>-3.7293300644601602E-3</v>
      </c>
      <c r="E773" s="2">
        <f t="shared" ref="E773:E836" si="64">(D772-D771)/(2*$A$4)</f>
        <v>-5.2737806070729976E-2</v>
      </c>
      <c r="F773" s="2">
        <f t="shared" si="63"/>
        <v>0.12947990193380546</v>
      </c>
      <c r="G773" s="2">
        <f t="shared" si="60"/>
        <v>0.12947990193380546</v>
      </c>
    </row>
    <row r="774" spans="1:7" x14ac:dyDescent="0.25">
      <c r="A774" s="18">
        <v>15.42</v>
      </c>
      <c r="B774" s="2">
        <v>1.46E-2</v>
      </c>
      <c r="C774" s="2">
        <f t="shared" si="61"/>
        <v>-2.92</v>
      </c>
      <c r="D774" s="2">
        <f t="shared" si="62"/>
        <v>-5.7472145025284169E-3</v>
      </c>
      <c r="E774" s="2">
        <f t="shared" si="64"/>
        <v>-5.1741909971044463E-2</v>
      </c>
      <c r="F774" s="2">
        <f t="shared" si="63"/>
        <v>0.15781643507584978</v>
      </c>
      <c r="G774" s="2">
        <f t="shared" si="60"/>
        <v>0.15781643507584978</v>
      </c>
    </row>
    <row r="775" spans="1:7" x14ac:dyDescent="0.25">
      <c r="A775" s="18">
        <v>15.44</v>
      </c>
      <c r="B775" s="2">
        <v>4.6800000000000001E-2</v>
      </c>
      <c r="C775" s="2">
        <f t="shared" si="61"/>
        <v>-9.36</v>
      </c>
      <c r="D775" s="2">
        <f t="shared" si="62"/>
        <v>-7.7019723665663333E-3</v>
      </c>
      <c r="E775" s="2">
        <f t="shared" si="64"/>
        <v>-5.0447110951706418E-2</v>
      </c>
      <c r="F775" s="2">
        <f t="shared" si="63"/>
        <v>0.18425917099699432</v>
      </c>
      <c r="G775" s="2">
        <f t="shared" si="60"/>
        <v>0.18425917099699432</v>
      </c>
    </row>
    <row r="776" spans="1:7" x14ac:dyDescent="0.25">
      <c r="A776" s="18">
        <v>15.46</v>
      </c>
      <c r="B776" s="2">
        <v>7.9000000000000001E-2</v>
      </c>
      <c r="C776" s="2">
        <f t="shared" si="61"/>
        <v>-15.8</v>
      </c>
      <c r="D776" s="2">
        <f t="shared" si="62"/>
        <v>-9.583026562205452E-3</v>
      </c>
      <c r="E776" s="2">
        <f t="shared" si="64"/>
        <v>-4.8868946600947906E-2</v>
      </c>
      <c r="F776" s="2">
        <f t="shared" si="63"/>
        <v>0.20849079686616981</v>
      </c>
      <c r="G776" s="2">
        <f t="shared" si="60"/>
        <v>0.20849079686616981</v>
      </c>
    </row>
    <row r="777" spans="1:7" x14ac:dyDescent="0.25">
      <c r="A777" s="18">
        <v>15.48</v>
      </c>
      <c r="B777" s="2">
        <v>4.7500000000000001E-2</v>
      </c>
      <c r="C777" s="2">
        <f t="shared" si="61"/>
        <v>-9.5</v>
      </c>
      <c r="D777" s="2">
        <f t="shared" si="62"/>
        <v>-1.1380684439098102E-2</v>
      </c>
      <c r="E777" s="2">
        <f t="shared" si="64"/>
        <v>-4.7026354890977964E-2</v>
      </c>
      <c r="F777" s="2">
        <f t="shared" si="63"/>
        <v>0.29392053317293765</v>
      </c>
      <c r="G777" s="2">
        <f t="shared" si="60"/>
        <v>0.29392053317293765</v>
      </c>
    </row>
    <row r="778" spans="1:7" x14ac:dyDescent="0.25">
      <c r="A778" s="18">
        <v>15.5</v>
      </c>
      <c r="B778" s="2">
        <v>1.6E-2</v>
      </c>
      <c r="C778" s="2">
        <f t="shared" si="61"/>
        <v>-3.2</v>
      </c>
      <c r="D778" s="2">
        <f t="shared" si="62"/>
        <v>-1.3060774102721577E-2</v>
      </c>
      <c r="E778" s="2">
        <f t="shared" si="64"/>
        <v>-4.4941446922316247E-2</v>
      </c>
      <c r="F778" s="2">
        <f t="shared" si="63"/>
        <v>0.37582322308164512</v>
      </c>
      <c r="G778" s="2">
        <f t="shared" si="60"/>
        <v>0.37582322308164512</v>
      </c>
    </row>
    <row r="779" spans="1:7" x14ac:dyDescent="0.25">
      <c r="A779" s="18">
        <v>15.52</v>
      </c>
      <c r="B779" s="2">
        <v>-1.55E-2</v>
      </c>
      <c r="C779" s="2">
        <f t="shared" si="61"/>
        <v>3.1</v>
      </c>
      <c r="D779" s="2">
        <f t="shared" si="62"/>
        <v>-1.4590534477112393E-2</v>
      </c>
      <c r="E779" s="2">
        <f t="shared" si="64"/>
        <v>-4.2002241590586867E-2</v>
      </c>
      <c r="F779" s="2">
        <f t="shared" si="63"/>
        <v>0.45321603431337093</v>
      </c>
      <c r="G779" s="2">
        <f t="shared" si="60"/>
        <v>0.45321603431337093</v>
      </c>
    </row>
    <row r="780" spans="1:7" x14ac:dyDescent="0.25">
      <c r="A780" s="18">
        <v>15.54</v>
      </c>
      <c r="B780" s="2">
        <v>-1.0200000000000001E-3</v>
      </c>
      <c r="C780" s="2">
        <f t="shared" si="61"/>
        <v>0.20400000000000001</v>
      </c>
      <c r="D780" s="2">
        <f t="shared" si="62"/>
        <v>-1.593900843777786E-2</v>
      </c>
      <c r="E780" s="2">
        <f t="shared" si="64"/>
        <v>-3.8244009359770417E-2</v>
      </c>
      <c r="F780" s="2">
        <f t="shared" si="63"/>
        <v>0.47919025313333458</v>
      </c>
      <c r="G780" s="2">
        <f t="shared" si="60"/>
        <v>0.47919025313333458</v>
      </c>
    </row>
    <row r="781" spans="1:7" x14ac:dyDescent="0.25">
      <c r="A781" s="18">
        <v>15.56</v>
      </c>
      <c r="B781" s="2">
        <v>1.3469999999999999E-2</v>
      </c>
      <c r="C781" s="2">
        <f t="shared" si="61"/>
        <v>-2.694</v>
      </c>
      <c r="D781" s="2">
        <f t="shared" si="62"/>
        <v>-1.7095806297189993E-2</v>
      </c>
      <c r="E781" s="2">
        <f t="shared" si="64"/>
        <v>-3.3711849016636666E-2</v>
      </c>
      <c r="F781" s="2">
        <f t="shared" si="63"/>
        <v>0.49940418891570787</v>
      </c>
      <c r="G781" s="2">
        <f t="shared" si="60"/>
        <v>0.49940418891570787</v>
      </c>
    </row>
    <row r="782" spans="1:7" x14ac:dyDescent="0.25">
      <c r="A782" s="18">
        <v>15.58</v>
      </c>
      <c r="B782" s="2">
        <v>2.7949999999999999E-2</v>
      </c>
      <c r="C782" s="2">
        <f t="shared" si="61"/>
        <v>-5.59</v>
      </c>
      <c r="D782" s="2">
        <f t="shared" si="62"/>
        <v>-1.8052842481035843E-2</v>
      </c>
      <c r="E782" s="2">
        <f t="shared" si="64"/>
        <v>-2.891994648530332E-2</v>
      </c>
      <c r="F782" s="2">
        <f t="shared" si="63"/>
        <v>0.5136352744310787</v>
      </c>
      <c r="G782" s="2">
        <f t="shared" si="60"/>
        <v>0.5136352744310787</v>
      </c>
    </row>
    <row r="783" spans="1:7" x14ac:dyDescent="0.25">
      <c r="A783" s="18">
        <v>15.6</v>
      </c>
      <c r="B783" s="2">
        <v>4.2439999999999999E-2</v>
      </c>
      <c r="C783" s="2">
        <f t="shared" si="61"/>
        <v>-8.4879999999999995</v>
      </c>
      <c r="D783" s="2">
        <f t="shared" si="62"/>
        <v>-1.8804424555109261E-2</v>
      </c>
      <c r="E783" s="2">
        <f t="shared" si="64"/>
        <v>-2.3925904596146241E-2</v>
      </c>
      <c r="F783" s="2">
        <f t="shared" si="63"/>
        <v>0.52169273665326854</v>
      </c>
      <c r="G783" s="2">
        <f t="shared" si="60"/>
        <v>0.52169273665326854</v>
      </c>
    </row>
    <row r="784" spans="1:7" x14ac:dyDescent="0.25">
      <c r="A784" s="18">
        <v>15.62</v>
      </c>
      <c r="B784" s="2">
        <v>5.6919999999999998E-2</v>
      </c>
      <c r="C784" s="2">
        <f t="shared" si="61"/>
        <v>-11.384</v>
      </c>
      <c r="D784" s="2">
        <f t="shared" si="62"/>
        <v>-1.9347329534521372E-2</v>
      </c>
      <c r="E784" s="2">
        <f t="shared" si="64"/>
        <v>-1.8789551851835454E-2</v>
      </c>
      <c r="F784" s="2">
        <f t="shared" si="63"/>
        <v>0.52349988603564601</v>
      </c>
      <c r="G784" s="2">
        <f t="shared" si="60"/>
        <v>0.52349988603564601</v>
      </c>
    </row>
    <row r="785" spans="1:7" x14ac:dyDescent="0.25">
      <c r="A785" s="18">
        <v>15.64</v>
      </c>
      <c r="B785" s="2">
        <v>3.7810000000000003E-2</v>
      </c>
      <c r="C785" s="2">
        <f t="shared" si="61"/>
        <v>-7.5620000000000003</v>
      </c>
      <c r="D785" s="2">
        <f t="shared" si="62"/>
        <v>-1.9680834559519224E-2</v>
      </c>
      <c r="E785" s="2">
        <f t="shared" si="64"/>
        <v>-1.3572624485302769E-2</v>
      </c>
      <c r="F785" s="2">
        <f t="shared" si="63"/>
        <v>0.55261503678556356</v>
      </c>
      <c r="G785" s="2">
        <f t="shared" si="60"/>
        <v>0.55261503678556356</v>
      </c>
    </row>
    <row r="786" spans="1:7" x14ac:dyDescent="0.25">
      <c r="A786" s="18">
        <v>15.66</v>
      </c>
      <c r="B786" s="2">
        <v>1.8700000000000001E-2</v>
      </c>
      <c r="C786" s="2">
        <f t="shared" si="61"/>
        <v>-3.74</v>
      </c>
      <c r="D786" s="2">
        <f t="shared" si="62"/>
        <v>-1.9793293569802851E-2</v>
      </c>
      <c r="E786" s="2">
        <f t="shared" si="64"/>
        <v>-8.3376256249463078E-3</v>
      </c>
      <c r="F786" s="2">
        <f t="shared" si="63"/>
        <v>0.57509880709408034</v>
      </c>
      <c r="G786" s="2">
        <f t="shared" si="60"/>
        <v>0.57509880709408034</v>
      </c>
    </row>
    <row r="787" spans="1:7" x14ac:dyDescent="0.25">
      <c r="A787" s="18">
        <v>15.68</v>
      </c>
      <c r="B787" s="2">
        <v>-4.0999999999999999E-4</v>
      </c>
      <c r="C787" s="2">
        <f t="shared" si="61"/>
        <v>8.2000000000000003E-2</v>
      </c>
      <c r="D787" s="2">
        <f t="shared" si="62"/>
        <v>-1.9675713057248845E-2</v>
      </c>
      <c r="E787" s="2">
        <f t="shared" si="64"/>
        <v>-2.8114752570906724E-3</v>
      </c>
      <c r="F787" s="2">
        <f t="shared" si="63"/>
        <v>0.59068139171746836</v>
      </c>
      <c r="G787" s="2">
        <f t="shared" si="60"/>
        <v>0.59068139171746836</v>
      </c>
    </row>
    <row r="788" spans="1:7" x14ac:dyDescent="0.25">
      <c r="A788" s="18">
        <v>15.7</v>
      </c>
      <c r="B788" s="2">
        <v>-1.9519999999999999E-2</v>
      </c>
      <c r="C788" s="2">
        <f t="shared" si="61"/>
        <v>3.9039999999999999</v>
      </c>
      <c r="D788" s="2">
        <f t="shared" si="62"/>
        <v>-1.9321859988007853E-2</v>
      </c>
      <c r="E788" s="2">
        <f t="shared" si="64"/>
        <v>2.9395128138501314E-3</v>
      </c>
      <c r="F788" s="2">
        <f t="shared" si="63"/>
        <v>0.59917579964022594</v>
      </c>
      <c r="G788" s="2">
        <f t="shared" si="60"/>
        <v>0.59917579964022594</v>
      </c>
    </row>
    <row r="789" spans="1:7" x14ac:dyDescent="0.25">
      <c r="A789" s="18">
        <v>15.72</v>
      </c>
      <c r="B789" s="2">
        <v>-4.2700000000000004E-3</v>
      </c>
      <c r="C789" s="2">
        <f t="shared" si="61"/>
        <v>0.85400000000000009</v>
      </c>
      <c r="D789" s="2">
        <f t="shared" si="62"/>
        <v>-1.872833659891077E-2</v>
      </c>
      <c r="E789" s="2">
        <f t="shared" si="64"/>
        <v>8.8463267310248152E-3</v>
      </c>
      <c r="F789" s="2">
        <f t="shared" si="63"/>
        <v>0.5661200979673302</v>
      </c>
      <c r="G789" s="2">
        <f t="shared" si="60"/>
        <v>0.5661200979673302</v>
      </c>
    </row>
    <row r="790" spans="1:7" x14ac:dyDescent="0.25">
      <c r="A790" s="18">
        <v>15.74</v>
      </c>
      <c r="B790" s="2">
        <v>1.098E-2</v>
      </c>
      <c r="C790" s="2">
        <f t="shared" si="61"/>
        <v>-2.1960000000000002</v>
      </c>
      <c r="D790" s="2">
        <f t="shared" si="62"/>
        <v>-1.7908365170626755E-2</v>
      </c>
      <c r="E790" s="2">
        <f t="shared" si="64"/>
        <v>1.4838084727427075E-2</v>
      </c>
      <c r="F790" s="2">
        <f t="shared" si="63"/>
        <v>0.52627095511879185</v>
      </c>
      <c r="G790" s="2">
        <f t="shared" si="60"/>
        <v>0.52627095511879185</v>
      </c>
    </row>
    <row r="791" spans="1:7" x14ac:dyDescent="0.25">
      <c r="A791" s="18">
        <v>15.76</v>
      </c>
      <c r="B791" s="2">
        <v>2.623E-2</v>
      </c>
      <c r="C791" s="2">
        <f t="shared" si="61"/>
        <v>-5.2459999999999996</v>
      </c>
      <c r="D791" s="2">
        <f t="shared" si="62"/>
        <v>-1.6877885360295223E-2</v>
      </c>
      <c r="E791" s="2">
        <f t="shared" si="64"/>
        <v>2.0499285707100377E-2</v>
      </c>
      <c r="F791" s="2">
        <f t="shared" si="63"/>
        <v>0.48010656080886038</v>
      </c>
      <c r="G791" s="2">
        <f t="shared" si="60"/>
        <v>0.48010656080886038</v>
      </c>
    </row>
    <row r="792" spans="1:7" x14ac:dyDescent="0.25">
      <c r="A792" s="18">
        <v>15.78</v>
      </c>
      <c r="B792" s="2">
        <v>4.1480000000000003E-2</v>
      </c>
      <c r="C792" s="2">
        <f t="shared" si="61"/>
        <v>-8.2960000000000012</v>
      </c>
      <c r="D792" s="2">
        <f t="shared" si="62"/>
        <v>-1.5655362925640147E-2</v>
      </c>
      <c r="E792" s="2">
        <f t="shared" si="64"/>
        <v>2.5761995258288296E-2</v>
      </c>
      <c r="F792" s="2">
        <f t="shared" si="63"/>
        <v>0.42818088776919866</v>
      </c>
      <c r="G792" s="2">
        <f t="shared" si="60"/>
        <v>0.42818088776919866</v>
      </c>
    </row>
    <row r="793" spans="1:7" x14ac:dyDescent="0.25">
      <c r="A793" s="18">
        <v>15.8</v>
      </c>
      <c r="B793" s="2">
        <v>1.821E-2</v>
      </c>
      <c r="C793" s="2">
        <f t="shared" si="61"/>
        <v>-3.6419999999999999</v>
      </c>
      <c r="D793" s="2">
        <f t="shared" si="62"/>
        <v>-1.4261568135877391E-2</v>
      </c>
      <c r="E793" s="2">
        <f t="shared" si="64"/>
        <v>3.05630608663769E-2</v>
      </c>
      <c r="F793" s="2">
        <f t="shared" si="63"/>
        <v>0.40963704407632245</v>
      </c>
      <c r="G793" s="2">
        <f t="shared" si="60"/>
        <v>0.40963704407632245</v>
      </c>
    </row>
    <row r="794" spans="1:7" x14ac:dyDescent="0.25">
      <c r="A794" s="18">
        <v>15.82</v>
      </c>
      <c r="B794" s="2">
        <v>-5.0600000000000003E-3</v>
      </c>
      <c r="C794" s="2">
        <f t="shared" si="61"/>
        <v>1.012</v>
      </c>
      <c r="D794" s="2">
        <f t="shared" si="62"/>
        <v>-1.2703918528484107E-2</v>
      </c>
      <c r="E794" s="2">
        <f t="shared" si="64"/>
        <v>3.4844869744068883E-2</v>
      </c>
      <c r="F794" s="2">
        <f t="shared" si="63"/>
        <v>0.38617755585452179</v>
      </c>
      <c r="G794" s="2">
        <f t="shared" si="60"/>
        <v>0.38617755585452179</v>
      </c>
    </row>
    <row r="795" spans="1:7" x14ac:dyDescent="0.25">
      <c r="A795" s="18">
        <v>15.84</v>
      </c>
      <c r="B795" s="2">
        <v>-8.7399999999999995E-3</v>
      </c>
      <c r="C795" s="2">
        <f t="shared" si="61"/>
        <v>1.748</v>
      </c>
      <c r="D795" s="2">
        <f t="shared" si="62"/>
        <v>-1.0991797898749014E-2</v>
      </c>
      <c r="E795" s="2">
        <f t="shared" si="64"/>
        <v>3.894124018483211E-2</v>
      </c>
      <c r="F795" s="2">
        <f t="shared" si="63"/>
        <v>0.33849393696247332</v>
      </c>
      <c r="G795" s="2">
        <f t="shared" si="60"/>
        <v>0.33849393696247332</v>
      </c>
    </row>
    <row r="796" spans="1:7" x14ac:dyDescent="0.25">
      <c r="A796" s="18">
        <v>15.86</v>
      </c>
      <c r="B796" s="2">
        <v>-3.7260000000000001E-2</v>
      </c>
      <c r="C796" s="2">
        <f t="shared" si="61"/>
        <v>7.452</v>
      </c>
      <c r="D796" s="2">
        <f t="shared" si="62"/>
        <v>-9.1442796942289312E-3</v>
      </c>
      <c r="E796" s="2">
        <f t="shared" si="64"/>
        <v>4.2803015743377332E-2</v>
      </c>
      <c r="F796" s="2">
        <f t="shared" si="63"/>
        <v>0.3115883908268624</v>
      </c>
      <c r="G796" s="2">
        <f t="shared" si="60"/>
        <v>0.3115883908268624</v>
      </c>
    </row>
    <row r="797" spans="1:7" x14ac:dyDescent="0.25">
      <c r="A797" s="18">
        <v>15.88</v>
      </c>
      <c r="B797" s="2">
        <v>-6.5790000000000001E-2</v>
      </c>
      <c r="C797" s="2">
        <f t="shared" si="61"/>
        <v>13.157999999999999</v>
      </c>
      <c r="D797" s="2">
        <f t="shared" si="62"/>
        <v>-7.1721261333781037E-3</v>
      </c>
      <c r="E797" s="2">
        <f t="shared" si="64"/>
        <v>4.6187955113002062E-2</v>
      </c>
      <c r="F797" s="2">
        <f t="shared" si="63"/>
        <v>0.28095378400134474</v>
      </c>
      <c r="G797" s="2">
        <f t="shared" si="60"/>
        <v>0.28095378400134474</v>
      </c>
    </row>
    <row r="798" spans="1:7" x14ac:dyDescent="0.25">
      <c r="A798" s="18">
        <v>15.9</v>
      </c>
      <c r="B798" s="2">
        <v>-2.5999999999999999E-2</v>
      </c>
      <c r="C798" s="2">
        <f t="shared" si="61"/>
        <v>5.2</v>
      </c>
      <c r="D798" s="2">
        <f t="shared" si="62"/>
        <v>-5.0875910589267383E-3</v>
      </c>
      <c r="E798" s="2">
        <f t="shared" si="64"/>
        <v>4.9303839021270689E-2</v>
      </c>
      <c r="F798" s="2">
        <f t="shared" si="63"/>
        <v>0.17862773176779978</v>
      </c>
      <c r="G798" s="2">
        <f t="shared" si="60"/>
        <v>0.17862773176779978</v>
      </c>
    </row>
    <row r="799" spans="1:7" x14ac:dyDescent="0.25">
      <c r="A799" s="18">
        <v>15.92</v>
      </c>
      <c r="B799" s="2">
        <v>1.38E-2</v>
      </c>
      <c r="C799" s="2">
        <f t="shared" si="61"/>
        <v>-2.76</v>
      </c>
      <c r="D799" s="2">
        <f t="shared" si="62"/>
        <v>-2.931604891768253E-3</v>
      </c>
      <c r="E799" s="2">
        <f t="shared" si="64"/>
        <v>5.2113376861284137E-2</v>
      </c>
      <c r="F799" s="2">
        <f t="shared" si="63"/>
        <v>7.414814675304722E-2</v>
      </c>
      <c r="G799" s="2">
        <f t="shared" si="60"/>
        <v>7.414814675304722E-2</v>
      </c>
    </row>
    <row r="800" spans="1:7" x14ac:dyDescent="0.25">
      <c r="A800" s="18">
        <v>15.94</v>
      </c>
      <c r="B800" s="2">
        <v>5.3589999999999999E-2</v>
      </c>
      <c r="C800" s="2">
        <f t="shared" si="61"/>
        <v>-10.718</v>
      </c>
      <c r="D800" s="2">
        <f t="shared" si="62"/>
        <v>-7.4595946590854875E-4</v>
      </c>
      <c r="E800" s="2">
        <f t="shared" si="64"/>
        <v>5.3899654178962135E-2</v>
      </c>
      <c r="F800" s="2">
        <f t="shared" si="63"/>
        <v>-3.1211216022743377E-2</v>
      </c>
      <c r="G800" s="2">
        <f t="shared" si="60"/>
        <v>-3.1211216022743377E-2</v>
      </c>
    </row>
    <row r="801" spans="1:7" x14ac:dyDescent="0.25">
      <c r="A801" s="18">
        <v>15.96</v>
      </c>
      <c r="B801" s="2">
        <v>9.3380000000000005E-2</v>
      </c>
      <c r="C801" s="2">
        <f t="shared" si="61"/>
        <v>-18.676000000000002</v>
      </c>
      <c r="D801" s="2">
        <f t="shared" si="62"/>
        <v>1.4272014735420581E-3</v>
      </c>
      <c r="E801" s="2">
        <f t="shared" si="64"/>
        <v>5.4641135646492603E-2</v>
      </c>
      <c r="F801" s="2">
        <f t="shared" si="63"/>
        <v>-0.1361960442062605</v>
      </c>
      <c r="G801" s="2">
        <f t="shared" si="60"/>
        <v>-0.1361960442062605</v>
      </c>
    </row>
    <row r="802" spans="1:7" x14ac:dyDescent="0.25">
      <c r="A802" s="18">
        <v>15.98</v>
      </c>
      <c r="B802" s="2">
        <v>5.883E-2</v>
      </c>
      <c r="C802" s="2">
        <f t="shared" si="61"/>
        <v>-11.766</v>
      </c>
      <c r="D802" s="2">
        <f t="shared" si="62"/>
        <v>3.5458839953101608E-3</v>
      </c>
      <c r="E802" s="2">
        <f t="shared" si="64"/>
        <v>5.4329023486265178E-2</v>
      </c>
      <c r="F802" s="2">
        <f t="shared" si="63"/>
        <v>-0.16520651985930423</v>
      </c>
      <c r="G802" s="2">
        <f t="shared" si="60"/>
        <v>-0.16520651985930423</v>
      </c>
    </row>
    <row r="803" spans="1:7" x14ac:dyDescent="0.25">
      <c r="A803" s="18">
        <v>16</v>
      </c>
      <c r="B803" s="2">
        <v>2.4289999999999999E-2</v>
      </c>
      <c r="C803" s="2">
        <f t="shared" si="61"/>
        <v>-4.8579999999999997</v>
      </c>
      <c r="D803" s="2">
        <f t="shared" si="62"/>
        <v>5.5984839091345415E-3</v>
      </c>
      <c r="E803" s="2">
        <f t="shared" si="64"/>
        <v>5.2967063044202574E-2</v>
      </c>
      <c r="F803" s="2">
        <f t="shared" si="63"/>
        <v>-0.19224451727403724</v>
      </c>
      <c r="G803" s="2">
        <f t="shared" si="60"/>
        <v>-0.19224451727403724</v>
      </c>
    </row>
    <row r="804" spans="1:7" x14ac:dyDescent="0.25">
      <c r="A804" s="18">
        <v>16.02</v>
      </c>
      <c r="B804" s="2">
        <v>-1.026E-2</v>
      </c>
      <c r="C804" s="2">
        <f t="shared" si="61"/>
        <v>2.052</v>
      </c>
      <c r="D804" s="2">
        <f t="shared" si="62"/>
        <v>7.5741860160493078E-3</v>
      </c>
      <c r="E804" s="2">
        <f t="shared" si="64"/>
        <v>5.1314997845609521E-2</v>
      </c>
      <c r="F804" s="2">
        <f t="shared" si="63"/>
        <v>-0.21696558048147924</v>
      </c>
      <c r="G804" s="2">
        <f t="shared" si="60"/>
        <v>-0.21696558048147924</v>
      </c>
    </row>
    <row r="805" spans="1:7" x14ac:dyDescent="0.25">
      <c r="A805" s="18">
        <v>16.04</v>
      </c>
      <c r="B805" s="2">
        <v>-4.48E-2</v>
      </c>
      <c r="C805" s="2">
        <f t="shared" si="61"/>
        <v>8.9599999999999991</v>
      </c>
      <c r="D805" s="2">
        <f t="shared" si="62"/>
        <v>9.4631018907714824E-3</v>
      </c>
      <c r="E805" s="2">
        <f t="shared" si="64"/>
        <v>4.9392552672869156E-2</v>
      </c>
      <c r="F805" s="2">
        <f t="shared" si="63"/>
        <v>-0.23909305672315059</v>
      </c>
      <c r="G805" s="2">
        <f t="shared" si="60"/>
        <v>-0.23909305672315059</v>
      </c>
    </row>
    <row r="806" spans="1:7" x14ac:dyDescent="0.25">
      <c r="A806" s="18">
        <v>16.059999999999999</v>
      </c>
      <c r="B806" s="2">
        <v>-1.0829999999999999E-2</v>
      </c>
      <c r="C806" s="2">
        <f t="shared" si="61"/>
        <v>2.1659999999999999</v>
      </c>
      <c r="D806" s="2">
        <f t="shared" si="62"/>
        <v>1.1256380542804397E-2</v>
      </c>
      <c r="E806" s="2">
        <f t="shared" si="64"/>
        <v>4.7222896868054365E-2</v>
      </c>
      <c r="F806" s="2">
        <f t="shared" si="63"/>
        <v>-0.32686141628413073</v>
      </c>
      <c r="G806" s="2">
        <f t="shared" si="60"/>
        <v>-0.32686141628413073</v>
      </c>
    </row>
    <row r="807" spans="1:7" x14ac:dyDescent="0.25">
      <c r="A807" s="18">
        <v>16.079999999999998</v>
      </c>
      <c r="B807" s="2">
        <v>-1.8689999999999998E-2</v>
      </c>
      <c r="C807" s="2">
        <f t="shared" si="61"/>
        <v>3.7379999999999995</v>
      </c>
      <c r="D807" s="2">
        <f t="shared" si="62"/>
        <v>1.2918914628323659E-2</v>
      </c>
      <c r="E807" s="2">
        <f t="shared" si="64"/>
        <v>4.4831966300822861E-2</v>
      </c>
      <c r="F807" s="2">
        <f t="shared" si="63"/>
        <v>-0.36887743884971186</v>
      </c>
      <c r="G807" s="2">
        <f t="shared" si="60"/>
        <v>-0.36887743884971186</v>
      </c>
    </row>
    <row r="808" spans="1:7" x14ac:dyDescent="0.25">
      <c r="A808" s="18">
        <v>16.100000000000001</v>
      </c>
      <c r="B808" s="2">
        <v>-2.6550000000000001E-2</v>
      </c>
      <c r="C808" s="2">
        <f t="shared" si="61"/>
        <v>5.3100000000000005</v>
      </c>
      <c r="D808" s="2">
        <f t="shared" si="62"/>
        <v>1.4433897738303036E-2</v>
      </c>
      <c r="E808" s="2">
        <f t="shared" si="64"/>
        <v>4.1563352137981548E-2</v>
      </c>
      <c r="F808" s="2">
        <f t="shared" si="63"/>
        <v>-0.40646693214910035</v>
      </c>
      <c r="G808" s="2">
        <f t="shared" si="60"/>
        <v>-0.40646693214910035</v>
      </c>
    </row>
    <row r="809" spans="1:7" x14ac:dyDescent="0.25">
      <c r="A809" s="18">
        <v>16.12</v>
      </c>
      <c r="B809" s="2">
        <v>-3.4410000000000003E-2</v>
      </c>
      <c r="C809" s="2">
        <f t="shared" si="61"/>
        <v>6.8820000000000006</v>
      </c>
      <c r="D809" s="2">
        <f t="shared" si="62"/>
        <v>1.5786294075422775E-2</v>
      </c>
      <c r="E809" s="2">
        <f t="shared" si="64"/>
        <v>3.7874577749484432E-2</v>
      </c>
      <c r="F809" s="2">
        <f t="shared" si="63"/>
        <v>-0.43917882226267818</v>
      </c>
      <c r="G809" s="2">
        <f t="shared" si="60"/>
        <v>-0.43917882226267818</v>
      </c>
    </row>
    <row r="810" spans="1:7" x14ac:dyDescent="0.25">
      <c r="A810" s="18">
        <v>16.14</v>
      </c>
      <c r="B810" s="2">
        <v>-2.503E-2</v>
      </c>
      <c r="C810" s="2">
        <f t="shared" si="61"/>
        <v>5.0060000000000002</v>
      </c>
      <c r="D810" s="2">
        <f t="shared" si="62"/>
        <v>1.6963018883637441E-2</v>
      </c>
      <c r="E810" s="2">
        <f t="shared" si="64"/>
        <v>3.3809908427993474E-2</v>
      </c>
      <c r="F810" s="2">
        <f t="shared" si="63"/>
        <v>-0.48386056650912346</v>
      </c>
      <c r="G810" s="2">
        <f t="shared" si="60"/>
        <v>-0.48386056650912346</v>
      </c>
    </row>
    <row r="811" spans="1:7" x14ac:dyDescent="0.25">
      <c r="A811" s="18">
        <v>16.16</v>
      </c>
      <c r="B811" s="2">
        <v>-1.5640000000000001E-2</v>
      </c>
      <c r="C811" s="2">
        <f t="shared" si="61"/>
        <v>3.1280000000000001</v>
      </c>
      <c r="D811" s="2">
        <f t="shared" si="62"/>
        <v>1.7946199465248457E-2</v>
      </c>
      <c r="E811" s="2">
        <f t="shared" si="64"/>
        <v>2.9418120205366646E-2</v>
      </c>
      <c r="F811" s="2">
        <f t="shared" si="63"/>
        <v>-0.52274598395744132</v>
      </c>
      <c r="G811" s="2">
        <f t="shared" si="60"/>
        <v>-0.52274598395744132</v>
      </c>
    </row>
    <row r="812" spans="1:7" x14ac:dyDescent="0.25">
      <c r="A812" s="18">
        <v>16.18</v>
      </c>
      <c r="B812" s="2">
        <v>-6.2599999999999999E-3</v>
      </c>
      <c r="C812" s="2">
        <f t="shared" si="61"/>
        <v>1.252</v>
      </c>
      <c r="D812" s="2">
        <f t="shared" si="62"/>
        <v>1.8720281653276497E-2</v>
      </c>
      <c r="E812" s="2">
        <f t="shared" si="64"/>
        <v>2.4579514540275411E-2</v>
      </c>
      <c r="F812" s="2">
        <f t="shared" si="63"/>
        <v>-0.55534844959828977</v>
      </c>
      <c r="G812" s="2">
        <f t="shared" si="60"/>
        <v>-0.55534844959828977</v>
      </c>
    </row>
    <row r="813" spans="1:7" x14ac:dyDescent="0.25">
      <c r="A813" s="18">
        <v>16.2</v>
      </c>
      <c r="B813" s="2">
        <v>-1.009E-2</v>
      </c>
      <c r="C813" s="2">
        <f t="shared" si="61"/>
        <v>2.0179999999999998</v>
      </c>
      <c r="D813" s="2">
        <f t="shared" si="62"/>
        <v>1.9272224461465221E-2</v>
      </c>
      <c r="E813" s="2">
        <f t="shared" si="64"/>
        <v>1.9352054700700998E-2</v>
      </c>
      <c r="F813" s="2">
        <f t="shared" si="63"/>
        <v>-0.56807673384395851</v>
      </c>
      <c r="G813" s="2">
        <f t="shared" si="60"/>
        <v>-0.56807673384395851</v>
      </c>
    </row>
    <row r="814" spans="1:7" x14ac:dyDescent="0.25">
      <c r="A814" s="18">
        <v>16.22</v>
      </c>
      <c r="B814" s="2">
        <v>-1.392E-2</v>
      </c>
      <c r="C814" s="2">
        <f t="shared" si="61"/>
        <v>2.7839999999999998</v>
      </c>
      <c r="D814" s="2">
        <f t="shared" si="62"/>
        <v>1.9596936576116362E-2</v>
      </c>
      <c r="E814" s="2">
        <f t="shared" si="64"/>
        <v>1.37985702047181E-2</v>
      </c>
      <c r="F814" s="2">
        <f t="shared" si="63"/>
        <v>-0.57398809728349642</v>
      </c>
      <c r="G814" s="2">
        <f t="shared" si="60"/>
        <v>-0.57398809728349642</v>
      </c>
    </row>
    <row r="815" spans="1:7" x14ac:dyDescent="0.25">
      <c r="A815" s="18">
        <v>16.239999999999998</v>
      </c>
      <c r="B815" s="2">
        <v>1.49E-2</v>
      </c>
      <c r="C815" s="2">
        <f t="shared" si="61"/>
        <v>-2.98</v>
      </c>
      <c r="D815" s="2">
        <f t="shared" si="62"/>
        <v>1.9692053451854104E-2</v>
      </c>
      <c r="E815" s="2">
        <f t="shared" si="64"/>
        <v>8.1178028662785146E-3</v>
      </c>
      <c r="F815" s="2">
        <f t="shared" si="63"/>
        <v>-0.60566160355561904</v>
      </c>
      <c r="G815" s="2">
        <f t="shared" si="60"/>
        <v>-0.60566160355561904</v>
      </c>
    </row>
    <row r="816" spans="1:7" x14ac:dyDescent="0.25">
      <c r="A816" s="18">
        <v>16.260000000000002</v>
      </c>
      <c r="B816" s="2">
        <v>4.3720000000000002E-2</v>
      </c>
      <c r="C816" s="2">
        <f t="shared" si="61"/>
        <v>-8.7439999999999998</v>
      </c>
      <c r="D816" s="2">
        <f t="shared" si="62"/>
        <v>1.9544905686169598E-2</v>
      </c>
      <c r="E816" s="2">
        <f t="shared" si="64"/>
        <v>2.3779218934435499E-3</v>
      </c>
      <c r="F816" s="2">
        <f t="shared" si="63"/>
        <v>-0.63006717058508055</v>
      </c>
      <c r="G816" s="2">
        <f t="shared" si="60"/>
        <v>-0.63006717058508055</v>
      </c>
    </row>
    <row r="817" spans="1:7" x14ac:dyDescent="0.25">
      <c r="A817" s="18">
        <v>16.28</v>
      </c>
      <c r="B817" s="2">
        <v>3.4630000000000001E-2</v>
      </c>
      <c r="C817" s="2">
        <f t="shared" si="61"/>
        <v>-6.9260000000000002</v>
      </c>
      <c r="D817" s="2">
        <f t="shared" si="62"/>
        <v>1.914573105225106E-2</v>
      </c>
      <c r="E817" s="2">
        <f t="shared" si="64"/>
        <v>-3.6786941421126408E-3</v>
      </c>
      <c r="F817" s="2">
        <f t="shared" si="63"/>
        <v>-0.60900193156752758</v>
      </c>
      <c r="G817" s="2">
        <f t="shared" si="60"/>
        <v>-0.60900193156752758</v>
      </c>
    </row>
    <row r="818" spans="1:7" x14ac:dyDescent="0.25">
      <c r="A818" s="18">
        <v>16.3</v>
      </c>
      <c r="B818" s="2">
        <v>2.0979999999999999E-2</v>
      </c>
      <c r="C818" s="2">
        <f t="shared" si="61"/>
        <v>-4.1959999999999997</v>
      </c>
      <c r="D818" s="2">
        <f t="shared" si="62"/>
        <v>1.8502955645705511E-2</v>
      </c>
      <c r="E818" s="2">
        <f t="shared" si="64"/>
        <v>-9.9793658479634464E-3</v>
      </c>
      <c r="F818" s="2">
        <f t="shared" si="63"/>
        <v>-0.57606866937115819</v>
      </c>
      <c r="G818" s="2">
        <f t="shared" si="60"/>
        <v>-0.57606866937115819</v>
      </c>
    </row>
    <row r="819" spans="1:7" x14ac:dyDescent="0.25">
      <c r="A819" s="18">
        <v>16.32</v>
      </c>
      <c r="B819" s="2">
        <v>7.3299999999999997E-3</v>
      </c>
      <c r="C819" s="2">
        <f t="shared" si="61"/>
        <v>-1.466</v>
      </c>
      <c r="D819" s="2">
        <f t="shared" si="62"/>
        <v>1.7629752771411499E-2</v>
      </c>
      <c r="E819" s="2">
        <f t="shared" si="64"/>
        <v>-1.6069385163638723E-2</v>
      </c>
      <c r="F819" s="2">
        <f t="shared" si="63"/>
        <v>-0.53622258314233417</v>
      </c>
      <c r="G819" s="2">
        <f t="shared" si="60"/>
        <v>-0.53622258314233417</v>
      </c>
    </row>
    <row r="820" spans="1:7" x14ac:dyDescent="0.25">
      <c r="A820" s="18">
        <v>16.34</v>
      </c>
      <c r="B820" s="2">
        <v>-6.3200000000000001E-3</v>
      </c>
      <c r="C820" s="2">
        <f t="shared" si="61"/>
        <v>1.264</v>
      </c>
      <c r="D820" s="2">
        <f t="shared" si="62"/>
        <v>1.6542060863860553E-2</v>
      </c>
      <c r="E820" s="2">
        <f t="shared" si="64"/>
        <v>-2.1830071857350305E-2</v>
      </c>
      <c r="F820" s="2">
        <f t="shared" si="63"/>
        <v>-0.48994182591581731</v>
      </c>
      <c r="G820" s="2">
        <f t="shared" si="60"/>
        <v>-0.48994182591581731</v>
      </c>
    </row>
    <row r="821" spans="1:7" x14ac:dyDescent="0.25">
      <c r="A821" s="18">
        <v>16.36</v>
      </c>
      <c r="B821" s="2">
        <v>-1.9970000000000002E-2</v>
      </c>
      <c r="C821" s="2">
        <f t="shared" si="61"/>
        <v>3.9940000000000002</v>
      </c>
      <c r="D821" s="2">
        <f t="shared" si="62"/>
        <v>1.5258392225943281E-2</v>
      </c>
      <c r="E821" s="2">
        <f t="shared" si="64"/>
        <v>-2.7192297688773646E-2</v>
      </c>
      <c r="F821" s="2">
        <f t="shared" si="63"/>
        <v>-0.43778176677828573</v>
      </c>
      <c r="G821" s="2">
        <f t="shared" si="60"/>
        <v>-0.43778176677828573</v>
      </c>
    </row>
    <row r="822" spans="1:7" x14ac:dyDescent="0.25">
      <c r="A822" s="18">
        <v>16.38</v>
      </c>
      <c r="B822" s="2">
        <v>7.6699999999999997E-3</v>
      </c>
      <c r="C822" s="2">
        <f t="shared" si="61"/>
        <v>-1.534</v>
      </c>
      <c r="D822" s="2">
        <f t="shared" si="62"/>
        <v>1.3799610881314693E-2</v>
      </c>
      <c r="E822" s="2">
        <f t="shared" si="64"/>
        <v>-3.2091715947931816E-2</v>
      </c>
      <c r="F822" s="2">
        <f t="shared" si="63"/>
        <v>-0.42165832643944068</v>
      </c>
      <c r="G822" s="2">
        <f t="shared" si="60"/>
        <v>-0.42165832643944068</v>
      </c>
    </row>
    <row r="823" spans="1:7" x14ac:dyDescent="0.25">
      <c r="A823" s="18">
        <v>16.399999999999999</v>
      </c>
      <c r="B823" s="2">
        <v>3.5319999999999997E-2</v>
      </c>
      <c r="C823" s="2">
        <f t="shared" si="61"/>
        <v>-7.0639999999999992</v>
      </c>
      <c r="D823" s="2">
        <f t="shared" si="62"/>
        <v>1.217216620611033E-2</v>
      </c>
      <c r="E823" s="2">
        <f t="shared" si="64"/>
        <v>-3.6469533615714679E-2</v>
      </c>
      <c r="F823" s="2">
        <f t="shared" si="63"/>
        <v>-0.40048498618330641</v>
      </c>
      <c r="G823" s="2">
        <f t="shared" si="60"/>
        <v>-0.40048498618330641</v>
      </c>
    </row>
    <row r="824" spans="1:7" x14ac:dyDescent="0.25">
      <c r="A824" s="18">
        <v>16.420000000000002</v>
      </c>
      <c r="B824" s="2">
        <v>3.4090000000000002E-2</v>
      </c>
      <c r="C824" s="2">
        <f t="shared" si="61"/>
        <v>-6.8180000000000005</v>
      </c>
      <c r="D824" s="2">
        <f t="shared" si="62"/>
        <v>1.0384527536432644E-2</v>
      </c>
      <c r="E824" s="2">
        <f t="shared" si="64"/>
        <v>-4.0686116880109084E-2</v>
      </c>
      <c r="F824" s="2">
        <f t="shared" si="63"/>
        <v>-0.3456258260929731</v>
      </c>
      <c r="G824" s="2">
        <f t="shared" si="60"/>
        <v>-0.3456258260929731</v>
      </c>
    </row>
    <row r="825" spans="1:7" x14ac:dyDescent="0.25">
      <c r="A825" s="18">
        <v>16.440000000000001</v>
      </c>
      <c r="B825" s="2">
        <v>3.2870000000000003E-2</v>
      </c>
      <c r="C825" s="2">
        <f t="shared" si="61"/>
        <v>-6.5740000000000007</v>
      </c>
      <c r="D825" s="2">
        <f t="shared" si="62"/>
        <v>8.4586385363177689E-3</v>
      </c>
      <c r="E825" s="2">
        <f t="shared" si="64"/>
        <v>-4.4690966741942145E-2</v>
      </c>
      <c r="F825" s="2">
        <f t="shared" si="63"/>
        <v>-0.28662915608954148</v>
      </c>
      <c r="G825" s="2">
        <f t="shared" si="60"/>
        <v>-0.28662915608954148</v>
      </c>
    </row>
    <row r="826" spans="1:7" x14ac:dyDescent="0.25">
      <c r="A826" s="18">
        <v>16.46</v>
      </c>
      <c r="B826" s="2">
        <v>3.1640000000000001E-2</v>
      </c>
      <c r="C826" s="2">
        <f t="shared" si="61"/>
        <v>-6.3280000000000003</v>
      </c>
      <c r="D826" s="2">
        <f t="shared" si="62"/>
        <v>6.4180978737670771E-3</v>
      </c>
      <c r="E826" s="2">
        <f t="shared" si="64"/>
        <v>-4.8147225002871878E-2</v>
      </c>
      <c r="F826" s="2">
        <f t="shared" si="63"/>
        <v>-0.22418293621301277</v>
      </c>
      <c r="G826" s="2">
        <f t="shared" si="60"/>
        <v>-0.22418293621301277</v>
      </c>
    </row>
    <row r="827" spans="1:7" x14ac:dyDescent="0.25">
      <c r="A827" s="18">
        <v>16.48</v>
      </c>
      <c r="B827" s="2">
        <v>2.4029999999999999E-2</v>
      </c>
      <c r="C827" s="2">
        <f t="shared" si="61"/>
        <v>-4.806</v>
      </c>
      <c r="D827" s="2">
        <f t="shared" si="62"/>
        <v>4.2878840367311802E-3</v>
      </c>
      <c r="E827" s="2">
        <f t="shared" si="64"/>
        <v>-5.1013516563767292E-2</v>
      </c>
      <c r="F827" s="2">
        <f t="shared" si="63"/>
        <v>-0.15266652110193207</v>
      </c>
      <c r="G827" s="2">
        <f t="shared" si="60"/>
        <v>-0.15266652110193207</v>
      </c>
    </row>
    <row r="828" spans="1:7" x14ac:dyDescent="0.25">
      <c r="A828" s="18">
        <v>16.5</v>
      </c>
      <c r="B828" s="2">
        <v>1.6420000000000001E-2</v>
      </c>
      <c r="C828" s="2">
        <f t="shared" si="61"/>
        <v>-3.2840000000000003</v>
      </c>
      <c r="D828" s="2">
        <f t="shared" si="62"/>
        <v>2.0966035912545105E-3</v>
      </c>
      <c r="E828" s="2">
        <f t="shared" si="64"/>
        <v>-5.3255345925897424E-2</v>
      </c>
      <c r="F828" s="2">
        <f t="shared" si="63"/>
        <v>-7.9318107737637075E-2</v>
      </c>
      <c r="G828" s="2">
        <f t="shared" si="60"/>
        <v>-7.9318107737637075E-2</v>
      </c>
    </row>
    <row r="829" spans="1:7" x14ac:dyDescent="0.25">
      <c r="A829" s="18">
        <v>16.52</v>
      </c>
      <c r="B829" s="2">
        <v>9.8200000000000006E-3</v>
      </c>
      <c r="C829" s="2">
        <f t="shared" si="61"/>
        <v>-1.9640000000000002</v>
      </c>
      <c r="D829" s="2">
        <f t="shared" si="62"/>
        <v>-1.2640409731721412E-4</v>
      </c>
      <c r="E829" s="2">
        <f t="shared" si="64"/>
        <v>-5.478201113691674E-2</v>
      </c>
      <c r="F829" s="2">
        <f t="shared" si="63"/>
        <v>-6.0278770804835739E-3</v>
      </c>
      <c r="G829" s="2">
        <f t="shared" si="60"/>
        <v>-6.0278770804835739E-3</v>
      </c>
    </row>
    <row r="830" spans="1:7" x14ac:dyDescent="0.25">
      <c r="A830" s="18">
        <v>16.54</v>
      </c>
      <c r="B830" s="2">
        <v>3.2200000000000002E-3</v>
      </c>
      <c r="C830" s="2">
        <f t="shared" si="61"/>
        <v>-0.64400000000000002</v>
      </c>
      <c r="D830" s="2">
        <f t="shared" si="62"/>
        <v>-2.351822936721132E-3</v>
      </c>
      <c r="E830" s="2">
        <f t="shared" si="64"/>
        <v>-5.557519221429312E-2</v>
      </c>
      <c r="F830" s="2">
        <f t="shared" si="63"/>
        <v>6.733468810163519E-2</v>
      </c>
      <c r="G830" s="2">
        <f t="shared" si="60"/>
        <v>6.733468810163519E-2</v>
      </c>
    </row>
    <row r="831" spans="1:7" x14ac:dyDescent="0.25">
      <c r="A831" s="18">
        <v>16.559999999999999</v>
      </c>
      <c r="B831" s="2">
        <v>-3.3899999999999998E-3</v>
      </c>
      <c r="C831" s="2">
        <f t="shared" si="61"/>
        <v>0.67799999999999994</v>
      </c>
      <c r="D831" s="2">
        <f t="shared" si="62"/>
        <v>-4.5503079008843957E-3</v>
      </c>
      <c r="E831" s="2">
        <f t="shared" si="64"/>
        <v>-5.563547098509794E-2</v>
      </c>
      <c r="F831" s="2">
        <f t="shared" si="63"/>
        <v>0.13989923702653054</v>
      </c>
      <c r="G831" s="2">
        <f t="shared" si="60"/>
        <v>0.13989923702653054</v>
      </c>
    </row>
    <row r="832" spans="1:7" x14ac:dyDescent="0.25">
      <c r="A832" s="18">
        <v>16.579999999999998</v>
      </c>
      <c r="B832" s="2">
        <v>2.2020000000000001E-2</v>
      </c>
      <c r="C832" s="2">
        <f t="shared" si="61"/>
        <v>-4.4039999999999999</v>
      </c>
      <c r="D832" s="2">
        <f t="shared" si="62"/>
        <v>-6.6928331702370471E-3</v>
      </c>
      <c r="E832" s="2">
        <f t="shared" si="64"/>
        <v>-5.4962124104081592E-2</v>
      </c>
      <c r="F832" s="2">
        <f t="shared" si="63"/>
        <v>0.17876499510711008</v>
      </c>
      <c r="G832" s="2">
        <f t="shared" si="60"/>
        <v>0.17876499510711008</v>
      </c>
    </row>
    <row r="833" spans="1:7" x14ac:dyDescent="0.25">
      <c r="A833" s="18">
        <v>16.600000000000001</v>
      </c>
      <c r="B833" s="2">
        <v>-1.941E-2</v>
      </c>
      <c r="C833" s="2">
        <f t="shared" si="61"/>
        <v>3.8820000000000001</v>
      </c>
      <c r="D833" s="2">
        <f t="shared" si="62"/>
        <v>-8.7638524415468554E-3</v>
      </c>
      <c r="E833" s="2">
        <f t="shared" si="64"/>
        <v>-5.3563131733816285E-2</v>
      </c>
      <c r="F833" s="2">
        <f t="shared" si="63"/>
        <v>0.28232557324640428</v>
      </c>
      <c r="G833" s="2">
        <f t="shared" si="60"/>
        <v>0.28232557324640428</v>
      </c>
    </row>
    <row r="834" spans="1:7" x14ac:dyDescent="0.25">
      <c r="A834" s="18">
        <v>16.62</v>
      </c>
      <c r="B834" s="2">
        <v>-6.0850000000000001E-2</v>
      </c>
      <c r="C834" s="2">
        <f t="shared" si="61"/>
        <v>12.17</v>
      </c>
      <c r="D834" s="2">
        <f t="shared" si="62"/>
        <v>-1.0721941483558102E-2</v>
      </c>
      <c r="E834" s="2">
        <f t="shared" si="64"/>
        <v>-5.1775481782745207E-2</v>
      </c>
      <c r="F834" s="2">
        <f t="shared" si="63"/>
        <v>0.38250824450673615</v>
      </c>
      <c r="G834" s="2">
        <f t="shared" ref="G834:G897" si="65">HLOOKUP($Y$3,$B$1:$F$1562,ROW(),0)</f>
        <v>0.38250824450673615</v>
      </c>
    </row>
    <row r="835" spans="1:7" x14ac:dyDescent="0.25">
      <c r="A835" s="18">
        <v>16.64</v>
      </c>
      <c r="B835" s="2">
        <v>-0.10228</v>
      </c>
      <c r="C835" s="2">
        <f t="shared" ref="C835:C898" si="66">-$M$4*B835</f>
        <v>20.456</v>
      </c>
      <c r="D835" s="2">
        <f t="shared" si="62"/>
        <v>-1.2527027227766654E-2</v>
      </c>
      <c r="E835" s="2">
        <f t="shared" si="64"/>
        <v>-4.8952226050281163E-2</v>
      </c>
      <c r="F835" s="2">
        <f t="shared" si="63"/>
        <v>0.47809081683300531</v>
      </c>
      <c r="G835" s="2">
        <f t="shared" si="65"/>
        <v>0.47809081683300531</v>
      </c>
    </row>
    <row r="836" spans="1:7" x14ac:dyDescent="0.25">
      <c r="A836" s="18">
        <v>16.66</v>
      </c>
      <c r="B836" s="2">
        <v>-7.8469999999999998E-2</v>
      </c>
      <c r="C836" s="2">
        <f t="shared" si="66"/>
        <v>15.693999999999999</v>
      </c>
      <c r="D836" s="2">
        <f t="shared" ref="D836:D899" si="67">(C835-($Q$6*D835)-($Q$7*D834))/$Q$5</f>
        <v>-1.4140876645242004E-2</v>
      </c>
      <c r="E836" s="2">
        <f t="shared" si="64"/>
        <v>-4.5127143605213804E-2</v>
      </c>
      <c r="F836" s="2">
        <f t="shared" ref="F836:F899" si="68">(D835-2*D836+D837)/($A$4^2)</f>
        <v>0.50269629935725901</v>
      </c>
      <c r="G836" s="2">
        <f t="shared" si="65"/>
        <v>0.50269629935725901</v>
      </c>
    </row>
    <row r="837" spans="1:7" x14ac:dyDescent="0.25">
      <c r="A837" s="18">
        <v>16.68</v>
      </c>
      <c r="B837" s="2">
        <v>-5.466E-2</v>
      </c>
      <c r="C837" s="2">
        <f t="shared" si="66"/>
        <v>10.932</v>
      </c>
      <c r="D837" s="2">
        <f t="shared" si="67"/>
        <v>-1.5553647542974452E-2</v>
      </c>
      <c r="E837" s="2">
        <f t="shared" ref="E837:E900" si="69">(D836-D835)/(2*$A$4)</f>
        <v>-4.0346235436883746E-2</v>
      </c>
      <c r="F837" s="2">
        <f t="shared" si="68"/>
        <v>0.52126942628924133</v>
      </c>
      <c r="G837" s="2">
        <f t="shared" si="65"/>
        <v>0.52126942628924133</v>
      </c>
    </row>
    <row r="838" spans="1:7" x14ac:dyDescent="0.25">
      <c r="A838" s="18">
        <v>16.7</v>
      </c>
      <c r="B838" s="2">
        <v>-3.0839999999999999E-2</v>
      </c>
      <c r="C838" s="2">
        <f t="shared" si="66"/>
        <v>6.1680000000000001</v>
      </c>
      <c r="D838" s="2">
        <f t="shared" si="67"/>
        <v>-1.6757910670191202E-2</v>
      </c>
      <c r="E838" s="2">
        <f t="shared" si="69"/>
        <v>-3.5319272443311199E-2</v>
      </c>
      <c r="F838" s="2">
        <f t="shared" si="68"/>
        <v>0.53357732010574088</v>
      </c>
      <c r="G838" s="2">
        <f t="shared" si="65"/>
        <v>0.53357732010574088</v>
      </c>
    </row>
    <row r="839" spans="1:7" x14ac:dyDescent="0.25">
      <c r="A839" s="18">
        <v>16.72</v>
      </c>
      <c r="B839" s="2">
        <v>-7.0299999999999998E-3</v>
      </c>
      <c r="C839" s="2">
        <f t="shared" si="66"/>
        <v>1.4059999999999999</v>
      </c>
      <c r="D839" s="2">
        <f t="shared" si="67"/>
        <v>-1.7748742869365654E-2</v>
      </c>
      <c r="E839" s="2">
        <f t="shared" si="69"/>
        <v>-3.0106578180418744E-2</v>
      </c>
      <c r="F839" s="2">
        <f t="shared" si="68"/>
        <v>0.53949228608096178</v>
      </c>
      <c r="G839" s="2">
        <f t="shared" si="65"/>
        <v>0.53949228608096178</v>
      </c>
    </row>
    <row r="840" spans="1:7" x14ac:dyDescent="0.25">
      <c r="A840" s="18">
        <v>16.739999999999998</v>
      </c>
      <c r="B840" s="2">
        <v>1.678E-2</v>
      </c>
      <c r="C840" s="2">
        <f t="shared" si="66"/>
        <v>-3.3559999999999999</v>
      </c>
      <c r="D840" s="2">
        <f t="shared" si="67"/>
        <v>-1.8523778154107721E-2</v>
      </c>
      <c r="E840" s="2">
        <f t="shared" si="69"/>
        <v>-2.4770804979361294E-2</v>
      </c>
      <c r="F840" s="2">
        <f t="shared" si="68"/>
        <v>0.53893334462324327</v>
      </c>
      <c r="G840" s="2">
        <f t="shared" si="65"/>
        <v>0.53893334462324327</v>
      </c>
    </row>
    <row r="841" spans="1:7" x14ac:dyDescent="0.25">
      <c r="A841" s="18">
        <v>16.760000000000002</v>
      </c>
      <c r="B841" s="2">
        <v>1.9460000000000002E-2</v>
      </c>
      <c r="C841" s="2">
        <f t="shared" si="66"/>
        <v>-3.8920000000000003</v>
      </c>
      <c r="D841" s="2">
        <f t="shared" si="67"/>
        <v>-1.9083240101000491E-2</v>
      </c>
      <c r="E841" s="2">
        <f t="shared" si="69"/>
        <v>-1.9375882118551676E-2</v>
      </c>
      <c r="F841" s="2">
        <f t="shared" si="68"/>
        <v>0.55303720303001735</v>
      </c>
      <c r="G841" s="2">
        <f t="shared" si="65"/>
        <v>0.55303720303001735</v>
      </c>
    </row>
    <row r="842" spans="1:7" x14ac:dyDescent="0.25">
      <c r="A842" s="18">
        <v>16.78</v>
      </c>
      <c r="B842" s="2">
        <v>2.214E-2</v>
      </c>
      <c r="C842" s="2">
        <f t="shared" si="66"/>
        <v>-4.4279999999999999</v>
      </c>
      <c r="D842" s="2">
        <f t="shared" si="67"/>
        <v>-1.9421487166681253E-2</v>
      </c>
      <c r="E842" s="2">
        <f t="shared" si="69"/>
        <v>-1.3986548672319243E-2</v>
      </c>
      <c r="F842" s="2">
        <f t="shared" si="68"/>
        <v>0.56050461500044102</v>
      </c>
      <c r="G842" s="2">
        <f t="shared" si="65"/>
        <v>0.56050461500044102</v>
      </c>
    </row>
    <row r="843" spans="1:7" x14ac:dyDescent="0.25">
      <c r="A843" s="18">
        <v>16.8</v>
      </c>
      <c r="B843" s="2">
        <v>2.4830000000000001E-2</v>
      </c>
      <c r="C843" s="2">
        <f t="shared" si="66"/>
        <v>-4.9660000000000002</v>
      </c>
      <c r="D843" s="2">
        <f t="shared" si="67"/>
        <v>-1.953553238636184E-2</v>
      </c>
      <c r="E843" s="2">
        <f t="shared" si="69"/>
        <v>-8.4561766420190691E-3</v>
      </c>
      <c r="F843" s="2">
        <f t="shared" si="68"/>
        <v>0.56123597159085137</v>
      </c>
      <c r="G843" s="2">
        <f t="shared" si="65"/>
        <v>0.56123597159085137</v>
      </c>
    </row>
    <row r="844" spans="1:7" x14ac:dyDescent="0.25">
      <c r="A844" s="18">
        <v>16.82</v>
      </c>
      <c r="B844" s="2">
        <v>1.8089999999999998E-2</v>
      </c>
      <c r="C844" s="2">
        <f t="shared" si="66"/>
        <v>-3.6179999999999999</v>
      </c>
      <c r="D844" s="2">
        <f t="shared" si="67"/>
        <v>-1.9425083217406085E-2</v>
      </c>
      <c r="E844" s="2">
        <f t="shared" si="69"/>
        <v>-2.8511304920146585E-3</v>
      </c>
      <c r="F844" s="2">
        <f t="shared" si="68"/>
        <v>0.56466249652219713</v>
      </c>
      <c r="G844" s="2">
        <f t="shared" si="65"/>
        <v>0.56466249652219713</v>
      </c>
    </row>
    <row r="845" spans="1:7" x14ac:dyDescent="0.25">
      <c r="A845" s="18">
        <v>16.84</v>
      </c>
      <c r="B845" s="2">
        <v>-2.0200000000000001E-3</v>
      </c>
      <c r="C845" s="2">
        <f t="shared" si="66"/>
        <v>0.40400000000000003</v>
      </c>
      <c r="D845" s="2">
        <f t="shared" si="67"/>
        <v>-1.9088769049841452E-2</v>
      </c>
      <c r="E845" s="2">
        <f t="shared" si="69"/>
        <v>2.7612292238938553E-3</v>
      </c>
      <c r="F845" s="2">
        <f t="shared" si="68"/>
        <v>0.57468307149523445</v>
      </c>
      <c r="G845" s="2">
        <f t="shared" si="65"/>
        <v>0.57468307149523445</v>
      </c>
    </row>
    <row r="846" spans="1:7" x14ac:dyDescent="0.25">
      <c r="A846" s="18">
        <v>16.86</v>
      </c>
      <c r="B846" s="2">
        <v>-2.213E-2</v>
      </c>
      <c r="C846" s="2">
        <f t="shared" si="66"/>
        <v>4.4260000000000002</v>
      </c>
      <c r="D846" s="2">
        <f t="shared" si="67"/>
        <v>-1.8522581653678725E-2</v>
      </c>
      <c r="E846" s="2">
        <f t="shared" si="69"/>
        <v>8.4078541891158265E-3</v>
      </c>
      <c r="F846" s="2">
        <f t="shared" si="68"/>
        <v>0.57780744961035901</v>
      </c>
      <c r="G846" s="2">
        <f t="shared" si="65"/>
        <v>0.57780744961035901</v>
      </c>
    </row>
    <row r="847" spans="1:7" x14ac:dyDescent="0.25">
      <c r="A847" s="18">
        <v>16.88</v>
      </c>
      <c r="B847" s="2">
        <v>-2.7799999999999999E-3</v>
      </c>
      <c r="C847" s="2">
        <f t="shared" si="66"/>
        <v>0.55599999999999994</v>
      </c>
      <c r="D847" s="2">
        <f t="shared" si="67"/>
        <v>-1.7725271277671855E-2</v>
      </c>
      <c r="E847" s="2">
        <f t="shared" si="69"/>
        <v>1.4154684904068172E-2</v>
      </c>
      <c r="F847" s="2">
        <f t="shared" si="68"/>
        <v>0.53453813833015051</v>
      </c>
      <c r="G847" s="2">
        <f t="shared" si="65"/>
        <v>0.53453813833015051</v>
      </c>
    </row>
    <row r="848" spans="1:7" x14ac:dyDescent="0.25">
      <c r="A848" s="18">
        <v>16.899999999999999</v>
      </c>
      <c r="B848" s="2">
        <v>1.6559999999999998E-2</v>
      </c>
      <c r="C848" s="2">
        <f t="shared" si="66"/>
        <v>-3.3119999999999998</v>
      </c>
      <c r="D848" s="2">
        <f t="shared" si="67"/>
        <v>-1.6714145646332924E-2</v>
      </c>
      <c r="E848" s="2">
        <f t="shared" si="69"/>
        <v>1.9932759400171762E-2</v>
      </c>
      <c r="F848" s="2">
        <f t="shared" si="68"/>
        <v>0.48486436938998362</v>
      </c>
      <c r="G848" s="2">
        <f t="shared" si="65"/>
        <v>0.48486436938998362</v>
      </c>
    </row>
    <row r="849" spans="1:7" x14ac:dyDescent="0.25">
      <c r="A849" s="18">
        <v>16.920000000000002</v>
      </c>
      <c r="B849" s="2">
        <v>3.5900000000000001E-2</v>
      </c>
      <c r="C849" s="2">
        <f t="shared" si="66"/>
        <v>-7.1800000000000006</v>
      </c>
      <c r="D849" s="2">
        <f t="shared" si="67"/>
        <v>-1.5509074267238E-2</v>
      </c>
      <c r="E849" s="2">
        <f t="shared" si="69"/>
        <v>2.5278140783473266E-2</v>
      </c>
      <c r="F849" s="2">
        <f t="shared" si="68"/>
        <v>0.42937222801713543</v>
      </c>
      <c r="G849" s="2">
        <f t="shared" si="65"/>
        <v>0.42937222801713543</v>
      </c>
    </row>
    <row r="850" spans="1:7" x14ac:dyDescent="0.25">
      <c r="A850" s="18">
        <v>16.940000000000001</v>
      </c>
      <c r="B850" s="2">
        <v>5.525E-2</v>
      </c>
      <c r="C850" s="2">
        <f t="shared" si="66"/>
        <v>-11.05</v>
      </c>
      <c r="D850" s="2">
        <f t="shared" si="67"/>
        <v>-1.4132253996936222E-2</v>
      </c>
      <c r="E850" s="2">
        <f t="shared" si="69"/>
        <v>3.0126784477373103E-2</v>
      </c>
      <c r="F850" s="2">
        <f t="shared" si="68"/>
        <v>0.36871761990808943</v>
      </c>
      <c r="G850" s="2">
        <f t="shared" si="65"/>
        <v>0.36871761990808943</v>
      </c>
    </row>
    <row r="851" spans="1:7" x14ac:dyDescent="0.25">
      <c r="A851" s="18">
        <v>16.96</v>
      </c>
      <c r="B851" s="2">
        <v>7.4590000000000004E-2</v>
      </c>
      <c r="C851" s="2">
        <f t="shared" si="66"/>
        <v>-14.918000000000001</v>
      </c>
      <c r="D851" s="2">
        <f t="shared" si="67"/>
        <v>-1.2607946678671208E-2</v>
      </c>
      <c r="E851" s="2">
        <f t="shared" si="69"/>
        <v>3.4420506757544454E-2</v>
      </c>
      <c r="F851" s="2">
        <f t="shared" si="68"/>
        <v>0.30364840036014012</v>
      </c>
      <c r="G851" s="2">
        <f t="shared" si="65"/>
        <v>0.30364840036014012</v>
      </c>
    </row>
    <row r="852" spans="1:7" x14ac:dyDescent="0.25">
      <c r="A852" s="18">
        <v>16.98</v>
      </c>
      <c r="B852" s="2">
        <v>6.2030000000000002E-2</v>
      </c>
      <c r="C852" s="2">
        <f t="shared" si="66"/>
        <v>-12.406000000000001</v>
      </c>
      <c r="D852" s="2">
        <f t="shared" si="67"/>
        <v>-1.0962180000262138E-2</v>
      </c>
      <c r="E852" s="2">
        <f t="shared" si="69"/>
        <v>3.8107682956625352E-2</v>
      </c>
      <c r="F852" s="2">
        <f t="shared" si="68"/>
        <v>0.26683540000786277</v>
      </c>
      <c r="G852" s="2">
        <f t="shared" si="65"/>
        <v>0.26683540000786277</v>
      </c>
    </row>
    <row r="853" spans="1:7" x14ac:dyDescent="0.25">
      <c r="A853" s="18">
        <v>17</v>
      </c>
      <c r="B853" s="2">
        <v>4.9480000000000003E-2</v>
      </c>
      <c r="C853" s="2">
        <f t="shared" si="66"/>
        <v>-9.8960000000000008</v>
      </c>
      <c r="D853" s="2">
        <f t="shared" si="67"/>
        <v>-9.2096791618499225E-3</v>
      </c>
      <c r="E853" s="2">
        <f t="shared" si="69"/>
        <v>4.1144166960226755E-2</v>
      </c>
      <c r="F853" s="2">
        <f t="shared" si="68"/>
        <v>0.22681037485549477</v>
      </c>
      <c r="G853" s="2">
        <f t="shared" si="65"/>
        <v>0.22681037485549477</v>
      </c>
    </row>
    <row r="854" spans="1:7" x14ac:dyDescent="0.25">
      <c r="A854" s="18">
        <v>17.02</v>
      </c>
      <c r="B854" s="2">
        <v>3.6920000000000001E-2</v>
      </c>
      <c r="C854" s="2">
        <f t="shared" si="66"/>
        <v>-7.3840000000000003</v>
      </c>
      <c r="D854" s="2">
        <f t="shared" si="67"/>
        <v>-7.3664541734955093E-3</v>
      </c>
      <c r="E854" s="2">
        <f t="shared" si="69"/>
        <v>4.3812520960305378E-2</v>
      </c>
      <c r="F854" s="2">
        <f t="shared" si="68"/>
        <v>0.18407362520486734</v>
      </c>
      <c r="G854" s="2">
        <f t="shared" si="65"/>
        <v>0.18407362520486734</v>
      </c>
    </row>
    <row r="855" spans="1:7" x14ac:dyDescent="0.25">
      <c r="A855" s="18">
        <v>17.04</v>
      </c>
      <c r="B855" s="2">
        <v>-1.4499999999999999E-3</v>
      </c>
      <c r="C855" s="2">
        <f t="shared" si="66"/>
        <v>0.28999999999999998</v>
      </c>
      <c r="D855" s="2">
        <f t="shared" si="67"/>
        <v>-5.4495997350591492E-3</v>
      </c>
      <c r="E855" s="2">
        <f t="shared" si="69"/>
        <v>4.6080624708860325E-2</v>
      </c>
      <c r="F855" s="2">
        <f t="shared" si="68"/>
        <v>0.16493799205177534</v>
      </c>
      <c r="G855" s="2">
        <f t="shared" si="65"/>
        <v>0.16493799205177534</v>
      </c>
    </row>
    <row r="856" spans="1:7" x14ac:dyDescent="0.25">
      <c r="A856" s="18">
        <v>17.059999999999999</v>
      </c>
      <c r="B856" s="2">
        <v>4.5990000000000003E-2</v>
      </c>
      <c r="C856" s="2">
        <f t="shared" si="66"/>
        <v>-9.1980000000000004</v>
      </c>
      <c r="D856" s="2">
        <f t="shared" si="67"/>
        <v>-3.466770099802079E-3</v>
      </c>
      <c r="E856" s="2">
        <f t="shared" si="69"/>
        <v>4.7921360960909001E-2</v>
      </c>
      <c r="F856" s="2">
        <f t="shared" si="68"/>
        <v>5.8013102994064432E-2</v>
      </c>
      <c r="G856" s="2">
        <f t="shared" si="65"/>
        <v>5.8013102994064432E-2</v>
      </c>
    </row>
    <row r="857" spans="1:7" x14ac:dyDescent="0.25">
      <c r="A857" s="18">
        <v>17.079999999999998</v>
      </c>
      <c r="B857" s="2">
        <v>4.079E-2</v>
      </c>
      <c r="C857" s="2">
        <f t="shared" si="66"/>
        <v>-8.1579999999999995</v>
      </c>
      <c r="D857" s="2">
        <f t="shared" si="67"/>
        <v>-1.460735223347383E-3</v>
      </c>
      <c r="E857" s="2">
        <f t="shared" si="69"/>
        <v>4.9570740881426753E-2</v>
      </c>
      <c r="F857" s="2">
        <f t="shared" si="68"/>
        <v>3.0320567004222241E-3</v>
      </c>
      <c r="G857" s="2">
        <f t="shared" si="65"/>
        <v>3.0320567004222241E-3</v>
      </c>
    </row>
    <row r="858" spans="1:7" x14ac:dyDescent="0.25">
      <c r="A858" s="18">
        <v>17.100000000000001</v>
      </c>
      <c r="B858" s="2">
        <v>3.5580000000000001E-2</v>
      </c>
      <c r="C858" s="2">
        <f t="shared" si="66"/>
        <v>-7.1159999999999997</v>
      </c>
      <c r="D858" s="2">
        <f t="shared" si="67"/>
        <v>5.4651247578748187E-4</v>
      </c>
      <c r="E858" s="2">
        <f t="shared" si="69"/>
        <v>5.0150871911367398E-2</v>
      </c>
      <c r="F858" s="2">
        <f t="shared" si="68"/>
        <v>-5.1975374273625655E-2</v>
      </c>
      <c r="G858" s="2">
        <f t="shared" si="65"/>
        <v>-5.1975374273625655E-2</v>
      </c>
    </row>
    <row r="859" spans="1:7" x14ac:dyDescent="0.25">
      <c r="A859" s="18">
        <v>17.12</v>
      </c>
      <c r="B859" s="2">
        <v>3.0370000000000001E-2</v>
      </c>
      <c r="C859" s="2">
        <f t="shared" si="66"/>
        <v>-6.0739999999999998</v>
      </c>
      <c r="D859" s="2">
        <f t="shared" si="67"/>
        <v>2.5329700252128967E-3</v>
      </c>
      <c r="E859" s="2">
        <f t="shared" si="69"/>
        <v>5.018119247837162E-2</v>
      </c>
      <c r="F859" s="2">
        <f t="shared" si="68"/>
        <v>-0.10635910075638705</v>
      </c>
      <c r="G859" s="2">
        <f t="shared" si="65"/>
        <v>-0.10635910075638705</v>
      </c>
    </row>
    <row r="860" spans="1:7" x14ac:dyDescent="0.25">
      <c r="A860" s="18">
        <v>17.14</v>
      </c>
      <c r="B860" s="2">
        <v>3.6260000000000001E-2</v>
      </c>
      <c r="C860" s="2">
        <f t="shared" si="66"/>
        <v>-7.2519999999999998</v>
      </c>
      <c r="D860" s="2">
        <f t="shared" si="67"/>
        <v>4.4768839343357564E-3</v>
      </c>
      <c r="E860" s="2">
        <f t="shared" si="69"/>
        <v>4.9661438735635374E-2</v>
      </c>
      <c r="F860" s="2">
        <f t="shared" si="68"/>
        <v>-0.17056651803007719</v>
      </c>
      <c r="G860" s="2">
        <f t="shared" si="65"/>
        <v>-0.17056651803007719</v>
      </c>
    </row>
    <row r="861" spans="1:7" x14ac:dyDescent="0.25">
      <c r="A861" s="18">
        <v>17.16</v>
      </c>
      <c r="B861" s="2">
        <v>4.215E-2</v>
      </c>
      <c r="C861" s="2">
        <f t="shared" si="66"/>
        <v>-8.43</v>
      </c>
      <c r="D861" s="2">
        <f t="shared" si="67"/>
        <v>6.3525712362465852E-3</v>
      </c>
      <c r="E861" s="2">
        <f t="shared" si="69"/>
        <v>4.8597847728071492E-2</v>
      </c>
      <c r="F861" s="2">
        <f t="shared" si="68"/>
        <v>-0.2327271370873964</v>
      </c>
      <c r="G861" s="2">
        <f t="shared" si="65"/>
        <v>-0.2327271370873964</v>
      </c>
    </row>
    <row r="862" spans="1:7" x14ac:dyDescent="0.25">
      <c r="A862" s="18">
        <v>17.18</v>
      </c>
      <c r="B862" s="2">
        <v>4.8030000000000003E-2</v>
      </c>
      <c r="C862" s="2">
        <f t="shared" si="66"/>
        <v>-9.6059999999999999</v>
      </c>
      <c r="D862" s="2">
        <f t="shared" si="67"/>
        <v>8.1351676833224546E-3</v>
      </c>
      <c r="E862" s="2">
        <f t="shared" si="69"/>
        <v>4.6892182547770722E-2</v>
      </c>
      <c r="F862" s="2">
        <f t="shared" si="68"/>
        <v>-0.29208503049967316</v>
      </c>
      <c r="G862" s="2">
        <f t="shared" si="65"/>
        <v>-0.29208503049967316</v>
      </c>
    </row>
    <row r="863" spans="1:7" x14ac:dyDescent="0.25">
      <c r="A863" s="18">
        <v>17.2</v>
      </c>
      <c r="B863" s="2">
        <v>5.3920000000000003E-2</v>
      </c>
      <c r="C863" s="2">
        <f t="shared" si="66"/>
        <v>-10.784000000000001</v>
      </c>
      <c r="D863" s="2">
        <f t="shared" si="67"/>
        <v>9.8009301181984539E-3</v>
      </c>
      <c r="E863" s="2">
        <f t="shared" si="69"/>
        <v>4.4564911176896732E-2</v>
      </c>
      <c r="F863" s="2">
        <f t="shared" si="68"/>
        <v>-0.34794790354595889</v>
      </c>
      <c r="G863" s="2">
        <f t="shared" si="65"/>
        <v>-0.34794790354595889</v>
      </c>
    </row>
    <row r="864" spans="1:7" x14ac:dyDescent="0.25">
      <c r="A864" s="18">
        <v>17.22</v>
      </c>
      <c r="B864" s="2">
        <v>4.947E-2</v>
      </c>
      <c r="C864" s="2">
        <f t="shared" si="66"/>
        <v>-9.8940000000000001</v>
      </c>
      <c r="D864" s="2">
        <f t="shared" si="67"/>
        <v>1.132751339165607E-2</v>
      </c>
      <c r="E864" s="2">
        <f t="shared" si="69"/>
        <v>4.1644060871899979E-2</v>
      </c>
      <c r="F864" s="2">
        <f t="shared" si="68"/>
        <v>-0.38929540174968602</v>
      </c>
      <c r="G864" s="2">
        <f t="shared" si="65"/>
        <v>-0.38929540174968602</v>
      </c>
    </row>
    <row r="865" spans="1:7" x14ac:dyDescent="0.25">
      <c r="A865" s="18">
        <v>17.239999999999998</v>
      </c>
      <c r="B865" s="2">
        <v>4.5019999999999998E-2</v>
      </c>
      <c r="C865" s="2">
        <f t="shared" si="66"/>
        <v>-9.0039999999999996</v>
      </c>
      <c r="D865" s="2">
        <f t="shared" si="67"/>
        <v>1.2698378504413811E-2</v>
      </c>
      <c r="E865" s="2">
        <f t="shared" si="69"/>
        <v>3.8164581836440392E-2</v>
      </c>
      <c r="F865" s="2">
        <f t="shared" si="68"/>
        <v>-0.4259713551324224</v>
      </c>
      <c r="G865" s="2">
        <f t="shared" si="65"/>
        <v>-0.4259713551324224</v>
      </c>
    </row>
    <row r="866" spans="1:7" x14ac:dyDescent="0.25">
      <c r="A866" s="18">
        <v>17.260000000000002</v>
      </c>
      <c r="B866" s="2">
        <v>4.0559999999999999E-2</v>
      </c>
      <c r="C866" s="2">
        <f t="shared" si="66"/>
        <v>-8.1120000000000001</v>
      </c>
      <c r="D866" s="2">
        <f t="shared" si="67"/>
        <v>1.3898855075118583E-2</v>
      </c>
      <c r="E866" s="2">
        <f t="shared" si="69"/>
        <v>3.427162781894353E-2</v>
      </c>
      <c r="F866" s="2">
        <f t="shared" si="68"/>
        <v>-0.45752565225355263</v>
      </c>
      <c r="G866" s="2">
        <f t="shared" si="65"/>
        <v>-0.45752565225355263</v>
      </c>
    </row>
    <row r="867" spans="1:7" x14ac:dyDescent="0.25">
      <c r="A867" s="18">
        <v>17.28</v>
      </c>
      <c r="B867" s="2">
        <v>3.6110000000000003E-2</v>
      </c>
      <c r="C867" s="2">
        <f t="shared" si="66"/>
        <v>-7.2220000000000004</v>
      </c>
      <c r="D867" s="2">
        <f t="shared" si="67"/>
        <v>1.4916321384921934E-2</v>
      </c>
      <c r="E867" s="2">
        <f t="shared" si="69"/>
        <v>3.0011914267619306E-2</v>
      </c>
      <c r="F867" s="2">
        <f t="shared" si="68"/>
        <v>-0.48359964154765994</v>
      </c>
      <c r="G867" s="2">
        <f t="shared" si="65"/>
        <v>-0.48359964154765994</v>
      </c>
    </row>
    <row r="868" spans="1:7" x14ac:dyDescent="0.25">
      <c r="A868" s="18">
        <v>17.3</v>
      </c>
      <c r="B868" s="2">
        <v>3.1660000000000001E-2</v>
      </c>
      <c r="C868" s="2">
        <f t="shared" si="66"/>
        <v>-6.3319999999999999</v>
      </c>
      <c r="D868" s="2">
        <f t="shared" si="67"/>
        <v>1.5740347838106222E-2</v>
      </c>
      <c r="E868" s="2">
        <f t="shared" si="69"/>
        <v>2.5436657745083781E-2</v>
      </c>
      <c r="F868" s="2">
        <f t="shared" si="68"/>
        <v>-0.50387043514318708</v>
      </c>
      <c r="G868" s="2">
        <f t="shared" si="65"/>
        <v>-0.50387043514318708</v>
      </c>
    </row>
    <row r="869" spans="1:7" x14ac:dyDescent="0.25">
      <c r="A869" s="18">
        <v>17.32</v>
      </c>
      <c r="B869" s="2">
        <v>6.1399999999999996E-3</v>
      </c>
      <c r="C869" s="2">
        <f t="shared" si="66"/>
        <v>-1.228</v>
      </c>
      <c r="D869" s="2">
        <f t="shared" si="67"/>
        <v>1.6362826117233234E-2</v>
      </c>
      <c r="E869" s="2">
        <f t="shared" si="69"/>
        <v>2.0600661329607181E-2</v>
      </c>
      <c r="F869" s="2">
        <f t="shared" si="68"/>
        <v>-0.49702478351698953</v>
      </c>
      <c r="G869" s="2">
        <f t="shared" si="65"/>
        <v>-0.49702478351698953</v>
      </c>
    </row>
    <row r="870" spans="1:7" x14ac:dyDescent="0.25">
      <c r="A870" s="18">
        <v>17.34</v>
      </c>
      <c r="B870" s="2">
        <v>-1.9369999999999998E-2</v>
      </c>
      <c r="C870" s="2">
        <f t="shared" si="66"/>
        <v>3.8739999999999997</v>
      </c>
      <c r="D870" s="2">
        <f t="shared" si="67"/>
        <v>1.6786494482953451E-2</v>
      </c>
      <c r="E870" s="2">
        <f t="shared" si="69"/>
        <v>1.556195697817531E-2</v>
      </c>
      <c r="F870" s="2">
        <f t="shared" si="68"/>
        <v>-0.48422483448861892</v>
      </c>
      <c r="G870" s="2">
        <f t="shared" si="65"/>
        <v>-0.48422483448861892</v>
      </c>
    </row>
    <row r="871" spans="1:7" x14ac:dyDescent="0.25">
      <c r="A871" s="18">
        <v>17.36</v>
      </c>
      <c r="B871" s="2">
        <v>-4.4889999999999999E-2</v>
      </c>
      <c r="C871" s="2">
        <f t="shared" si="66"/>
        <v>8.9779999999999998</v>
      </c>
      <c r="D871" s="2">
        <f t="shared" si="67"/>
        <v>1.701647291487822E-2</v>
      </c>
      <c r="E871" s="2">
        <f t="shared" si="69"/>
        <v>1.0591709143005414E-2</v>
      </c>
      <c r="F871" s="2">
        <f t="shared" si="68"/>
        <v>-0.4656041874463463</v>
      </c>
      <c r="G871" s="2">
        <f t="shared" si="65"/>
        <v>-0.4656041874463463</v>
      </c>
    </row>
    <row r="872" spans="1:7" x14ac:dyDescent="0.25">
      <c r="A872" s="18">
        <v>17.38</v>
      </c>
      <c r="B872" s="2">
        <v>-7.0400000000000004E-2</v>
      </c>
      <c r="C872" s="2">
        <f t="shared" si="66"/>
        <v>14.08</v>
      </c>
      <c r="D872" s="2">
        <f t="shared" si="67"/>
        <v>1.706020967182445E-2</v>
      </c>
      <c r="E872" s="2">
        <f t="shared" si="69"/>
        <v>5.7494607981192249E-3</v>
      </c>
      <c r="F872" s="2">
        <f t="shared" si="68"/>
        <v>-0.44140629015472321</v>
      </c>
      <c r="G872" s="2">
        <f t="shared" si="65"/>
        <v>-0.44140629015472321</v>
      </c>
    </row>
    <row r="873" spans="1:7" x14ac:dyDescent="0.25">
      <c r="A873" s="18">
        <v>17.399999999999999</v>
      </c>
      <c r="B873" s="2">
        <v>-9.5920000000000005E-2</v>
      </c>
      <c r="C873" s="2">
        <f t="shared" si="66"/>
        <v>19.184000000000001</v>
      </c>
      <c r="D873" s="2">
        <f t="shared" si="67"/>
        <v>1.6927383912708791E-2</v>
      </c>
      <c r="E873" s="2">
        <f t="shared" si="69"/>
        <v>1.0934189236557618E-3</v>
      </c>
      <c r="F873" s="2">
        <f t="shared" si="68"/>
        <v>-0.41190151738126379</v>
      </c>
      <c r="G873" s="2">
        <f t="shared" si="65"/>
        <v>-0.41190151738126379</v>
      </c>
    </row>
    <row r="874" spans="1:7" x14ac:dyDescent="0.25">
      <c r="A874" s="18">
        <v>17.420000000000002</v>
      </c>
      <c r="B874" s="2">
        <v>-7.7450000000000005E-2</v>
      </c>
      <c r="C874" s="2">
        <f t="shared" si="66"/>
        <v>15.49</v>
      </c>
      <c r="D874" s="2">
        <f t="shared" si="67"/>
        <v>1.6629797546640627E-2</v>
      </c>
      <c r="E874" s="2">
        <f t="shared" si="69"/>
        <v>-3.3206439778914708E-3</v>
      </c>
      <c r="F874" s="2">
        <f t="shared" si="68"/>
        <v>-0.42144392639922346</v>
      </c>
      <c r="G874" s="2">
        <f t="shared" si="65"/>
        <v>-0.42144392639922346</v>
      </c>
    </row>
    <row r="875" spans="1:7" x14ac:dyDescent="0.25">
      <c r="A875" s="18">
        <v>17.440000000000001</v>
      </c>
      <c r="B875" s="2">
        <v>-5.8990000000000001E-2</v>
      </c>
      <c r="C875" s="2">
        <f t="shared" si="66"/>
        <v>11.798</v>
      </c>
      <c r="D875" s="2">
        <f t="shared" si="67"/>
        <v>1.6163633610012773E-2</v>
      </c>
      <c r="E875" s="2">
        <f t="shared" si="69"/>
        <v>-7.4396591517041089E-3</v>
      </c>
      <c r="F875" s="2">
        <f t="shared" si="68"/>
        <v>-0.42591900830037976</v>
      </c>
      <c r="G875" s="2">
        <f t="shared" si="65"/>
        <v>-0.42591900830037976</v>
      </c>
    </row>
    <row r="876" spans="1:7" x14ac:dyDescent="0.25">
      <c r="A876" s="18">
        <v>17.46</v>
      </c>
      <c r="B876" s="2">
        <v>-4.052E-2</v>
      </c>
      <c r="C876" s="2">
        <f t="shared" si="66"/>
        <v>8.1039999999999992</v>
      </c>
      <c r="D876" s="2">
        <f t="shared" si="67"/>
        <v>1.5527102070064767E-2</v>
      </c>
      <c r="E876" s="2">
        <f t="shared" si="69"/>
        <v>-1.1654098415696344E-2</v>
      </c>
      <c r="F876" s="2">
        <f t="shared" si="68"/>
        <v>-0.42529306210194701</v>
      </c>
      <c r="G876" s="2">
        <f t="shared" si="65"/>
        <v>-0.42529306210194701</v>
      </c>
    </row>
    <row r="877" spans="1:7" x14ac:dyDescent="0.25">
      <c r="A877" s="18">
        <v>17.48</v>
      </c>
      <c r="B877" s="2">
        <v>-2.206E-2</v>
      </c>
      <c r="C877" s="2">
        <f t="shared" si="66"/>
        <v>4.4119999999999999</v>
      </c>
      <c r="D877" s="2">
        <f t="shared" si="67"/>
        <v>1.4720453305275983E-2</v>
      </c>
      <c r="E877" s="2">
        <f t="shared" si="69"/>
        <v>-1.5913288498700141E-2</v>
      </c>
      <c r="F877" s="2">
        <f t="shared" si="68"/>
        <v>-0.41955359915827811</v>
      </c>
      <c r="G877" s="2">
        <f t="shared" si="65"/>
        <v>-0.41955359915827811</v>
      </c>
    </row>
    <row r="878" spans="1:7" x14ac:dyDescent="0.25">
      <c r="A878" s="18">
        <v>17.5</v>
      </c>
      <c r="B878" s="2">
        <v>-3.5899999999999999E-3</v>
      </c>
      <c r="C878" s="2">
        <f t="shared" si="66"/>
        <v>0.71799999999999997</v>
      </c>
      <c r="D878" s="2">
        <f t="shared" si="67"/>
        <v>1.3745983100823887E-2</v>
      </c>
      <c r="E878" s="2">
        <f t="shared" si="69"/>
        <v>-2.0166219119719612E-2</v>
      </c>
      <c r="F878" s="2">
        <f t="shared" si="68"/>
        <v>-0.40878949302471534</v>
      </c>
      <c r="G878" s="2">
        <f t="shared" si="65"/>
        <v>-0.40878949302471534</v>
      </c>
    </row>
    <row r="879" spans="1:7" x14ac:dyDescent="0.25">
      <c r="A879" s="18">
        <v>17.52</v>
      </c>
      <c r="B879" s="2">
        <v>1.487E-2</v>
      </c>
      <c r="C879" s="2">
        <f t="shared" si="66"/>
        <v>-2.9739999999999998</v>
      </c>
      <c r="D879" s="2">
        <f t="shared" si="67"/>
        <v>1.2607997099161905E-2</v>
      </c>
      <c r="E879" s="2">
        <f t="shared" si="69"/>
        <v>-2.4361755111302393E-2</v>
      </c>
      <c r="F879" s="2">
        <f t="shared" si="68"/>
        <v>-0.3931099129748537</v>
      </c>
      <c r="G879" s="2">
        <f t="shared" si="65"/>
        <v>-0.3931099129748537</v>
      </c>
    </row>
    <row r="880" spans="1:7" x14ac:dyDescent="0.25">
      <c r="A880" s="18">
        <v>17.54</v>
      </c>
      <c r="B880" s="2">
        <v>1.005E-2</v>
      </c>
      <c r="C880" s="2">
        <f t="shared" si="66"/>
        <v>-2.0099999999999998</v>
      </c>
      <c r="D880" s="2">
        <f t="shared" si="67"/>
        <v>1.1312767132309982E-2</v>
      </c>
      <c r="E880" s="2">
        <f t="shared" si="69"/>
        <v>-2.8449650041549545E-2</v>
      </c>
      <c r="F880" s="2">
        <f t="shared" si="68"/>
        <v>-0.34943301396929932</v>
      </c>
      <c r="G880" s="2">
        <f t="shared" si="65"/>
        <v>-0.34943301396929932</v>
      </c>
    </row>
    <row r="881" spans="1:7" x14ac:dyDescent="0.25">
      <c r="A881" s="18">
        <v>17.559999999999999</v>
      </c>
      <c r="B881" s="2">
        <v>5.2300000000000003E-3</v>
      </c>
      <c r="C881" s="2">
        <f t="shared" si="66"/>
        <v>-1.046</v>
      </c>
      <c r="D881" s="2">
        <f t="shared" si="67"/>
        <v>9.8777639598703389E-3</v>
      </c>
      <c r="E881" s="2">
        <f t="shared" si="69"/>
        <v>-3.238074917129808E-2</v>
      </c>
      <c r="F881" s="2">
        <f t="shared" si="68"/>
        <v>-0.30156291879610692</v>
      </c>
      <c r="G881" s="2">
        <f t="shared" si="65"/>
        <v>-0.30156291879610692</v>
      </c>
    </row>
    <row r="882" spans="1:7" x14ac:dyDescent="0.25">
      <c r="A882" s="18">
        <v>17.579999999999998</v>
      </c>
      <c r="B882" s="2">
        <v>4.0999999999999999E-4</v>
      </c>
      <c r="C882" s="2">
        <f t="shared" si="66"/>
        <v>-8.2000000000000003E-2</v>
      </c>
      <c r="D882" s="2">
        <f t="shared" si="67"/>
        <v>8.3221356199122531E-3</v>
      </c>
      <c r="E882" s="2">
        <f t="shared" si="69"/>
        <v>-3.5875079310991077E-2</v>
      </c>
      <c r="F882" s="2">
        <f t="shared" si="68"/>
        <v>-0.25007406859736941</v>
      </c>
      <c r="G882" s="2">
        <f t="shared" si="65"/>
        <v>-0.25007406859736941</v>
      </c>
    </row>
    <row r="883" spans="1:7" x14ac:dyDescent="0.25">
      <c r="A883" s="18">
        <v>17.600000000000001</v>
      </c>
      <c r="B883" s="2">
        <v>-4.4099999999999999E-3</v>
      </c>
      <c r="C883" s="2">
        <f t="shared" si="66"/>
        <v>0.88200000000000001</v>
      </c>
      <c r="D883" s="2">
        <f t="shared" si="67"/>
        <v>6.6664776525152195E-3</v>
      </c>
      <c r="E883" s="2">
        <f t="shared" si="69"/>
        <v>-3.8890708498952146E-2</v>
      </c>
      <c r="F883" s="2">
        <f t="shared" si="68"/>
        <v>-0.19558432957545932</v>
      </c>
      <c r="G883" s="2">
        <f t="shared" si="65"/>
        <v>-0.19558432957545932</v>
      </c>
    </row>
    <row r="884" spans="1:7" x14ac:dyDescent="0.25">
      <c r="A884" s="18">
        <v>17.62</v>
      </c>
      <c r="B884" s="2">
        <v>-9.2300000000000004E-3</v>
      </c>
      <c r="C884" s="2">
        <f t="shared" si="66"/>
        <v>1.8460000000000001</v>
      </c>
      <c r="D884" s="2">
        <f t="shared" si="67"/>
        <v>4.9325859532880021E-3</v>
      </c>
      <c r="E884" s="2">
        <f t="shared" si="69"/>
        <v>-4.1391449184925842E-2</v>
      </c>
      <c r="F884" s="2">
        <f t="shared" si="68"/>
        <v>-0.13874757859863932</v>
      </c>
      <c r="G884" s="2">
        <f t="shared" si="65"/>
        <v>-0.13874757859863932</v>
      </c>
    </row>
    <row r="885" spans="1:7" x14ac:dyDescent="0.25">
      <c r="A885" s="18">
        <v>17.64</v>
      </c>
      <c r="B885" s="2">
        <v>-1.189E-2</v>
      </c>
      <c r="C885" s="2">
        <f t="shared" si="66"/>
        <v>2.3780000000000001</v>
      </c>
      <c r="D885" s="2">
        <f t="shared" si="67"/>
        <v>3.143195222621329E-3</v>
      </c>
      <c r="E885" s="2">
        <f t="shared" si="69"/>
        <v>-4.3347292480680436E-2</v>
      </c>
      <c r="F885" s="2">
        <f t="shared" si="68"/>
        <v>-8.2405856678638853E-2</v>
      </c>
      <c r="G885" s="2">
        <f t="shared" si="65"/>
        <v>-8.2405856678638853E-2</v>
      </c>
    </row>
    <row r="886" spans="1:7" x14ac:dyDescent="0.25">
      <c r="A886" s="18">
        <v>17.66</v>
      </c>
      <c r="B886" s="2">
        <v>-1.523E-2</v>
      </c>
      <c r="C886" s="2">
        <f t="shared" si="66"/>
        <v>3.0460000000000003</v>
      </c>
      <c r="D886" s="2">
        <f t="shared" si="67"/>
        <v>1.3208421492832004E-3</v>
      </c>
      <c r="E886" s="2">
        <f t="shared" si="69"/>
        <v>-4.4734768266666829E-2</v>
      </c>
      <c r="F886" s="2">
        <f t="shared" si="68"/>
        <v>-2.4395264478495011E-2</v>
      </c>
      <c r="G886" s="2">
        <f t="shared" si="65"/>
        <v>-2.4395264478495011E-2</v>
      </c>
    </row>
    <row r="887" spans="1:7" x14ac:dyDescent="0.25">
      <c r="A887" s="18">
        <v>17.68</v>
      </c>
      <c r="B887" s="2">
        <v>-1.856E-2</v>
      </c>
      <c r="C887" s="2">
        <f t="shared" si="66"/>
        <v>3.7120000000000002</v>
      </c>
      <c r="D887" s="2">
        <f t="shared" si="67"/>
        <v>-5.1126902984632622E-4</v>
      </c>
      <c r="E887" s="2">
        <f t="shared" si="69"/>
        <v>-4.5558826833453213E-2</v>
      </c>
      <c r="F887" s="2">
        <f t="shared" si="68"/>
        <v>3.3898070895389903E-2</v>
      </c>
      <c r="G887" s="2">
        <f t="shared" si="65"/>
        <v>3.3898070895389903E-2</v>
      </c>
    </row>
    <row r="888" spans="1:7" x14ac:dyDescent="0.25">
      <c r="A888" s="18">
        <v>17.7</v>
      </c>
      <c r="B888" s="2">
        <v>-2.1899999999999999E-2</v>
      </c>
      <c r="C888" s="2">
        <f t="shared" si="66"/>
        <v>4.38</v>
      </c>
      <c r="D888" s="2">
        <f t="shared" si="67"/>
        <v>-2.3298209806176971E-3</v>
      </c>
      <c r="E888" s="2">
        <f t="shared" si="69"/>
        <v>-4.5802779478238166E-2</v>
      </c>
      <c r="F888" s="2">
        <f t="shared" si="68"/>
        <v>9.1794629418530393E-2</v>
      </c>
      <c r="G888" s="2">
        <f t="shared" si="65"/>
        <v>9.1794629418530393E-2</v>
      </c>
    </row>
    <row r="889" spans="1:7" x14ac:dyDescent="0.25">
      <c r="A889" s="18">
        <v>17.72</v>
      </c>
      <c r="B889" s="2">
        <v>-9.8300000000000002E-3</v>
      </c>
      <c r="C889" s="2">
        <f t="shared" si="66"/>
        <v>1.966</v>
      </c>
      <c r="D889" s="2">
        <f t="shared" si="67"/>
        <v>-4.1116550796216561E-3</v>
      </c>
      <c r="E889" s="2">
        <f t="shared" si="69"/>
        <v>-4.5463798769284268E-2</v>
      </c>
      <c r="F889" s="2">
        <f t="shared" si="68"/>
        <v>0.13317965238864635</v>
      </c>
      <c r="G889" s="2">
        <f t="shared" si="65"/>
        <v>0.13317965238864635</v>
      </c>
    </row>
    <row r="890" spans="1:7" x14ac:dyDescent="0.25">
      <c r="A890" s="18">
        <v>17.739999999999998</v>
      </c>
      <c r="B890" s="2">
        <v>2.2399999999999998E-3</v>
      </c>
      <c r="C890" s="2">
        <f t="shared" si="66"/>
        <v>-0.44799999999999995</v>
      </c>
      <c r="D890" s="2">
        <f t="shared" si="67"/>
        <v>-5.8402173176701567E-3</v>
      </c>
      <c r="E890" s="2">
        <f t="shared" si="69"/>
        <v>-4.4545852475098978E-2</v>
      </c>
      <c r="F890" s="2">
        <f t="shared" si="68"/>
        <v>0.17296651953010217</v>
      </c>
      <c r="G890" s="2">
        <f t="shared" si="65"/>
        <v>0.17296651953010217</v>
      </c>
    </row>
    <row r="891" spans="1:7" x14ac:dyDescent="0.25">
      <c r="A891" s="18">
        <v>17.760000000000002</v>
      </c>
      <c r="B891" s="2">
        <v>1.431E-2</v>
      </c>
      <c r="C891" s="2">
        <f t="shared" si="66"/>
        <v>-2.8620000000000001</v>
      </c>
      <c r="D891" s="2">
        <f t="shared" si="67"/>
        <v>-7.4995929479066163E-3</v>
      </c>
      <c r="E891" s="2">
        <f t="shared" si="69"/>
        <v>-4.3214055951212513E-2</v>
      </c>
      <c r="F891" s="2">
        <f t="shared" si="68"/>
        <v>0.21067778843719598</v>
      </c>
      <c r="G891" s="2">
        <f t="shared" si="65"/>
        <v>0.21067778843719598</v>
      </c>
    </row>
    <row r="892" spans="1:7" x14ac:dyDescent="0.25">
      <c r="A892" s="18">
        <v>17.78</v>
      </c>
      <c r="B892" s="2">
        <v>3.3500000000000001E-3</v>
      </c>
      <c r="C892" s="2">
        <f t="shared" si="66"/>
        <v>-0.67</v>
      </c>
      <c r="D892" s="2">
        <f t="shared" si="67"/>
        <v>-9.0746974627681967E-3</v>
      </c>
      <c r="E892" s="2">
        <f t="shared" si="69"/>
        <v>-4.1484390755911489E-2</v>
      </c>
      <c r="F892" s="2">
        <f t="shared" si="68"/>
        <v>0.26889092388304031</v>
      </c>
      <c r="G892" s="2">
        <f t="shared" si="65"/>
        <v>0.26889092388304031</v>
      </c>
    </row>
    <row r="893" spans="1:7" x14ac:dyDescent="0.25">
      <c r="A893" s="18">
        <v>17.8</v>
      </c>
      <c r="B893" s="2">
        <v>-7.6E-3</v>
      </c>
      <c r="C893" s="2">
        <f t="shared" si="66"/>
        <v>1.52</v>
      </c>
      <c r="D893" s="2">
        <f t="shared" si="67"/>
        <v>-1.054224560807656E-2</v>
      </c>
      <c r="E893" s="2">
        <f t="shared" si="69"/>
        <v>-3.9377612871539507E-2</v>
      </c>
      <c r="F893" s="2">
        <f t="shared" si="68"/>
        <v>0.323867368242298</v>
      </c>
      <c r="G893" s="2">
        <f t="shared" si="65"/>
        <v>0.323867368242298</v>
      </c>
    </row>
    <row r="894" spans="1:7" x14ac:dyDescent="0.25">
      <c r="A894" s="18">
        <v>17.82</v>
      </c>
      <c r="B894" s="2">
        <v>-1.856E-2</v>
      </c>
      <c r="C894" s="2">
        <f t="shared" si="66"/>
        <v>3.7120000000000002</v>
      </c>
      <c r="D894" s="2">
        <f t="shared" si="67"/>
        <v>-1.1880246806088004E-2</v>
      </c>
      <c r="E894" s="2">
        <f t="shared" si="69"/>
        <v>-3.6688703632709083E-2</v>
      </c>
      <c r="F894" s="2">
        <f t="shared" si="68"/>
        <v>0.37496740418263735</v>
      </c>
      <c r="G894" s="2">
        <f t="shared" si="65"/>
        <v>0.37496740418263735</v>
      </c>
    </row>
    <row r="895" spans="1:7" x14ac:dyDescent="0.25">
      <c r="A895" s="18">
        <v>17.84</v>
      </c>
      <c r="B895" s="2">
        <v>-7.3699999999999998E-3</v>
      </c>
      <c r="C895" s="2">
        <f t="shared" si="66"/>
        <v>1.474</v>
      </c>
      <c r="D895" s="2">
        <f t="shared" si="67"/>
        <v>-1.3068261042426393E-2</v>
      </c>
      <c r="E895" s="2">
        <f t="shared" si="69"/>
        <v>-3.3450029950286106E-2</v>
      </c>
      <c r="F895" s="2">
        <f t="shared" si="68"/>
        <v>0.3994178312727954</v>
      </c>
      <c r="G895" s="2">
        <f t="shared" si="65"/>
        <v>0.3994178312727954</v>
      </c>
    </row>
    <row r="896" spans="1:7" x14ac:dyDescent="0.25">
      <c r="A896" s="18">
        <v>17.86</v>
      </c>
      <c r="B896" s="2">
        <v>3.8300000000000001E-3</v>
      </c>
      <c r="C896" s="2">
        <f t="shared" si="66"/>
        <v>-0.76600000000000001</v>
      </c>
      <c r="D896" s="2">
        <f t="shared" si="67"/>
        <v>-1.4096508146255664E-2</v>
      </c>
      <c r="E896" s="2">
        <f t="shared" si="69"/>
        <v>-2.9700355908459729E-2</v>
      </c>
      <c r="F896" s="2">
        <f t="shared" si="68"/>
        <v>0.41906524438767562</v>
      </c>
      <c r="G896" s="2">
        <f t="shared" si="65"/>
        <v>0.41906524438767562</v>
      </c>
    </row>
    <row r="897" spans="1:7" x14ac:dyDescent="0.25">
      <c r="A897" s="18">
        <v>17.88</v>
      </c>
      <c r="B897" s="2">
        <v>1.502E-2</v>
      </c>
      <c r="C897" s="2">
        <f t="shared" si="66"/>
        <v>-3.004</v>
      </c>
      <c r="D897" s="2">
        <f t="shared" si="67"/>
        <v>-1.4957129152329865E-2</v>
      </c>
      <c r="E897" s="2">
        <f t="shared" si="69"/>
        <v>-2.5706177595731777E-2</v>
      </c>
      <c r="F897" s="2">
        <f t="shared" si="68"/>
        <v>0.433693874569898</v>
      </c>
      <c r="G897" s="2">
        <f t="shared" si="65"/>
        <v>0.433693874569898</v>
      </c>
    </row>
    <row r="898" spans="1:7" x14ac:dyDescent="0.25">
      <c r="A898" s="18">
        <v>17.899999999999999</v>
      </c>
      <c r="B898" s="2">
        <v>2.622E-2</v>
      </c>
      <c r="C898" s="2">
        <f t="shared" si="66"/>
        <v>-5.2439999999999998</v>
      </c>
      <c r="D898" s="2">
        <f t="shared" si="67"/>
        <v>-1.5644272608576107E-2</v>
      </c>
      <c r="E898" s="2">
        <f t="shared" si="69"/>
        <v>-2.1515525151855019E-2</v>
      </c>
      <c r="F898" s="2">
        <f t="shared" si="68"/>
        <v>0.44310817825728671</v>
      </c>
      <c r="G898" s="2">
        <f t="shared" ref="G898:G961" si="70">HLOOKUP($Y$3,$B$1:$F$1562,ROW(),0)</f>
        <v>0.44310817825728671</v>
      </c>
    </row>
    <row r="899" spans="1:7" x14ac:dyDescent="0.25">
      <c r="A899" s="18">
        <v>17.920000000000002</v>
      </c>
      <c r="B899" s="2">
        <v>1.0160000000000001E-2</v>
      </c>
      <c r="C899" s="2">
        <f t="shared" ref="C899:C962" si="71">-$M$4*B899</f>
        <v>-2.032</v>
      </c>
      <c r="D899" s="2">
        <f t="shared" si="67"/>
        <v>-1.6154172793519436E-2</v>
      </c>
      <c r="E899" s="2">
        <f t="shared" si="69"/>
        <v>-1.7178586406156039E-2</v>
      </c>
      <c r="F899" s="2">
        <f t="shared" si="68"/>
        <v>0.47446518380559427</v>
      </c>
      <c r="G899" s="2">
        <f t="shared" si="70"/>
        <v>0.47446518380559427</v>
      </c>
    </row>
    <row r="900" spans="1:7" x14ac:dyDescent="0.25">
      <c r="A900" s="18">
        <v>17.940000000000001</v>
      </c>
      <c r="B900" s="2">
        <v>-5.8999999999999999E-3</v>
      </c>
      <c r="C900" s="2">
        <f t="shared" si="71"/>
        <v>1.18</v>
      </c>
      <c r="D900" s="2">
        <f t="shared" ref="D900:D963" si="72">(C899-($Q$6*D899)-($Q$7*D898))/$Q$5</f>
        <v>-1.6474286904940526E-2</v>
      </c>
      <c r="E900" s="2">
        <f t="shared" si="69"/>
        <v>-1.2747504623583216E-2</v>
      </c>
      <c r="F900" s="2">
        <f t="shared" ref="F900:F963" si="73">(D899-2*D900+D901)/($A$4^2)</f>
        <v>0.50012860714821783</v>
      </c>
      <c r="G900" s="2">
        <f t="shared" si="70"/>
        <v>0.50012860714821783</v>
      </c>
    </row>
    <row r="901" spans="1:7" x14ac:dyDescent="0.25">
      <c r="A901" s="18">
        <v>17.96</v>
      </c>
      <c r="B901" s="2">
        <v>-2.196E-2</v>
      </c>
      <c r="C901" s="2">
        <f t="shared" si="71"/>
        <v>4.3920000000000003</v>
      </c>
      <c r="D901" s="2">
        <f t="shared" si="72"/>
        <v>-1.659434957350233E-2</v>
      </c>
      <c r="E901" s="2">
        <f t="shared" ref="E901:E964" si="74">(D900-D899)/(2*$A$4)</f>
        <v>-8.002852785527273E-3</v>
      </c>
      <c r="F901" s="2">
        <f t="shared" si="73"/>
        <v>0.51979048720507404</v>
      </c>
      <c r="G901" s="2">
        <f t="shared" si="70"/>
        <v>0.51979048720507404</v>
      </c>
    </row>
    <row r="902" spans="1:7" x14ac:dyDescent="0.25">
      <c r="A902" s="18">
        <v>17.98</v>
      </c>
      <c r="B902" s="2">
        <v>-1.2099999999999999E-3</v>
      </c>
      <c r="C902" s="2">
        <f t="shared" si="71"/>
        <v>0.24199999999999999</v>
      </c>
      <c r="D902" s="2">
        <f t="shared" si="72"/>
        <v>-1.6506496047182104E-2</v>
      </c>
      <c r="E902" s="2">
        <f t="shared" si="74"/>
        <v>-3.0015667140450945E-3</v>
      </c>
      <c r="F902" s="2">
        <f t="shared" si="73"/>
        <v>0.49640488141546379</v>
      </c>
      <c r="G902" s="2">
        <f t="shared" si="70"/>
        <v>0.49640488141546379</v>
      </c>
    </row>
    <row r="903" spans="1:7" x14ac:dyDescent="0.25">
      <c r="A903" s="18">
        <v>18</v>
      </c>
      <c r="B903" s="2">
        <v>1.9529999999999999E-2</v>
      </c>
      <c r="C903" s="2">
        <f t="shared" si="71"/>
        <v>-3.9059999999999997</v>
      </c>
      <c r="D903" s="2">
        <f t="shared" si="72"/>
        <v>-1.6220080568295693E-2</v>
      </c>
      <c r="E903" s="2">
        <f t="shared" si="74"/>
        <v>2.1963381580056458E-3</v>
      </c>
      <c r="F903" s="2">
        <f t="shared" si="73"/>
        <v>0.46707241704887004</v>
      </c>
      <c r="G903" s="2">
        <f t="shared" si="70"/>
        <v>0.46707241704887004</v>
      </c>
    </row>
    <row r="904" spans="1:7" x14ac:dyDescent="0.25">
      <c r="A904" s="18">
        <v>18.02</v>
      </c>
      <c r="B904" s="2">
        <v>4.027E-2</v>
      </c>
      <c r="C904" s="2">
        <f t="shared" si="71"/>
        <v>-8.0540000000000003</v>
      </c>
      <c r="D904" s="2">
        <f t="shared" si="72"/>
        <v>-1.5746836122589734E-2</v>
      </c>
      <c r="E904" s="2">
        <f t="shared" si="74"/>
        <v>7.1603869721602841E-3</v>
      </c>
      <c r="F904" s="2">
        <f t="shared" si="73"/>
        <v>0.43213508367768733</v>
      </c>
      <c r="G904" s="2">
        <f t="shared" si="70"/>
        <v>0.43213508367768733</v>
      </c>
    </row>
    <row r="905" spans="1:7" x14ac:dyDescent="0.25">
      <c r="A905" s="18">
        <v>18.04</v>
      </c>
      <c r="B905" s="2">
        <v>2.826E-2</v>
      </c>
      <c r="C905" s="2">
        <f t="shared" si="71"/>
        <v>-5.6520000000000001</v>
      </c>
      <c r="D905" s="2">
        <f t="shared" si="72"/>
        <v>-1.5100737643412699E-2</v>
      </c>
      <c r="E905" s="2">
        <f t="shared" si="74"/>
        <v>1.1831111142648985E-2</v>
      </c>
      <c r="F905" s="2">
        <f t="shared" si="73"/>
        <v>0.42476212930237733</v>
      </c>
      <c r="G905" s="2">
        <f t="shared" si="70"/>
        <v>0.42476212930237733</v>
      </c>
    </row>
    <row r="906" spans="1:7" x14ac:dyDescent="0.25">
      <c r="A906" s="18">
        <v>18.059999999999999</v>
      </c>
      <c r="B906" s="2">
        <v>1.6250000000000001E-2</v>
      </c>
      <c r="C906" s="2">
        <f t="shared" si="71"/>
        <v>-3.25</v>
      </c>
      <c r="D906" s="2">
        <f t="shared" si="72"/>
        <v>-1.4284734312514714E-2</v>
      </c>
      <c r="E906" s="2">
        <f t="shared" si="74"/>
        <v>1.6152461979425856E-2</v>
      </c>
      <c r="F906" s="2">
        <f t="shared" si="73"/>
        <v>0.41229202937543769</v>
      </c>
      <c r="G906" s="2">
        <f t="shared" si="70"/>
        <v>0.41229202937543769</v>
      </c>
    </row>
    <row r="907" spans="1:7" x14ac:dyDescent="0.25">
      <c r="A907" s="18">
        <v>18.079999999999998</v>
      </c>
      <c r="B907" s="2">
        <v>4.2399999999999998E-3</v>
      </c>
      <c r="C907" s="2">
        <f t="shared" si="71"/>
        <v>-0.84799999999999998</v>
      </c>
      <c r="D907" s="2">
        <f t="shared" si="72"/>
        <v>-1.3303814169866554E-2</v>
      </c>
      <c r="E907" s="2">
        <f t="shared" si="74"/>
        <v>2.0400083272449632E-2</v>
      </c>
      <c r="F907" s="2">
        <f t="shared" si="73"/>
        <v>0.39487442509600085</v>
      </c>
      <c r="G907" s="2">
        <f t="shared" si="70"/>
        <v>0.39487442509600085</v>
      </c>
    </row>
    <row r="908" spans="1:7" x14ac:dyDescent="0.25">
      <c r="A908" s="18">
        <v>18.100000000000001</v>
      </c>
      <c r="B908" s="2">
        <v>1.9599999999999999E-3</v>
      </c>
      <c r="C908" s="2">
        <f t="shared" si="71"/>
        <v>-0.39200000000000002</v>
      </c>
      <c r="D908" s="2">
        <f t="shared" si="72"/>
        <v>-1.2164944257179993E-2</v>
      </c>
      <c r="E908" s="2">
        <f t="shared" si="74"/>
        <v>2.4523003566204009E-2</v>
      </c>
      <c r="F908" s="2">
        <f t="shared" si="73"/>
        <v>0.36298832771539807</v>
      </c>
      <c r="G908" s="2">
        <f t="shared" si="70"/>
        <v>0.36298832771539807</v>
      </c>
    </row>
    <row r="909" spans="1:7" x14ac:dyDescent="0.25">
      <c r="A909" s="18">
        <v>18.12</v>
      </c>
      <c r="B909" s="2">
        <v>-3.1E-4</v>
      </c>
      <c r="C909" s="2">
        <f t="shared" si="71"/>
        <v>6.2E-2</v>
      </c>
      <c r="D909" s="2">
        <f t="shared" si="72"/>
        <v>-1.0880879013407273E-2</v>
      </c>
      <c r="E909" s="2">
        <f t="shared" si="74"/>
        <v>2.8471747817164016E-2</v>
      </c>
      <c r="F909" s="2">
        <f t="shared" si="73"/>
        <v>0.32673637040222209</v>
      </c>
      <c r="G909" s="2">
        <f t="shared" si="70"/>
        <v>0.32673637040222209</v>
      </c>
    </row>
    <row r="910" spans="1:7" x14ac:dyDescent="0.25">
      <c r="A910" s="18">
        <v>18.14</v>
      </c>
      <c r="B910" s="2">
        <v>-2.5799999999999998E-3</v>
      </c>
      <c r="C910" s="2">
        <f t="shared" si="71"/>
        <v>0.51600000000000001</v>
      </c>
      <c r="D910" s="2">
        <f t="shared" si="72"/>
        <v>-9.4661192214736643E-3</v>
      </c>
      <c r="E910" s="2">
        <f t="shared" si="74"/>
        <v>3.2101631094317996E-2</v>
      </c>
      <c r="F910" s="2">
        <f t="shared" si="73"/>
        <v>0.28656357664420384</v>
      </c>
      <c r="G910" s="2">
        <f t="shared" si="70"/>
        <v>0.28656357664420384</v>
      </c>
    </row>
    <row r="911" spans="1:7" x14ac:dyDescent="0.25">
      <c r="A911" s="18">
        <v>18.16</v>
      </c>
      <c r="B911" s="2">
        <v>-4.8599999999999997E-3</v>
      </c>
      <c r="C911" s="2">
        <f t="shared" si="71"/>
        <v>0.97199999999999998</v>
      </c>
      <c r="D911" s="2">
        <f t="shared" si="72"/>
        <v>-7.936733998882374E-3</v>
      </c>
      <c r="E911" s="2">
        <f t="shared" si="74"/>
        <v>3.5368994798340221E-2</v>
      </c>
      <c r="F911" s="2">
        <f t="shared" si="73"/>
        <v>0.2429620199664688</v>
      </c>
      <c r="G911" s="2">
        <f t="shared" si="70"/>
        <v>0.2429620199664688</v>
      </c>
    </row>
    <row r="912" spans="1:7" x14ac:dyDescent="0.25">
      <c r="A912" s="18">
        <v>18.18</v>
      </c>
      <c r="B912" s="2">
        <v>-7.1300000000000001E-3</v>
      </c>
      <c r="C912" s="2">
        <f t="shared" si="71"/>
        <v>1.4259999999999999</v>
      </c>
      <c r="D912" s="2">
        <f t="shared" si="72"/>
        <v>-6.3101639683044962E-3</v>
      </c>
      <c r="E912" s="2">
        <f t="shared" si="74"/>
        <v>3.8234630564782254E-2</v>
      </c>
      <c r="F912" s="2">
        <f t="shared" si="73"/>
        <v>0.19643491904913463</v>
      </c>
      <c r="G912" s="2">
        <f t="shared" si="70"/>
        <v>0.19643491904913463</v>
      </c>
    </row>
    <row r="913" spans="1:7" x14ac:dyDescent="0.25">
      <c r="A913" s="18">
        <v>18.2</v>
      </c>
      <c r="B913" s="2">
        <v>-9.41E-3</v>
      </c>
      <c r="C913" s="2">
        <f t="shared" si="71"/>
        <v>1.8819999999999999</v>
      </c>
      <c r="D913" s="2">
        <f t="shared" si="72"/>
        <v>-4.6050199701069645E-3</v>
      </c>
      <c r="E913" s="2">
        <f t="shared" si="74"/>
        <v>4.0664250764446942E-2</v>
      </c>
      <c r="F913" s="2">
        <f t="shared" si="73"/>
        <v>0.1475605991032051</v>
      </c>
      <c r="G913" s="2">
        <f t="shared" si="70"/>
        <v>0.1475605991032051</v>
      </c>
    </row>
    <row r="914" spans="1:7" x14ac:dyDescent="0.25">
      <c r="A914" s="18">
        <v>18.22</v>
      </c>
      <c r="B914" s="2">
        <v>-1.1679999999999999E-2</v>
      </c>
      <c r="C914" s="2">
        <f t="shared" si="71"/>
        <v>2.3359999999999999</v>
      </c>
      <c r="D914" s="2">
        <f t="shared" si="72"/>
        <v>-2.8408517322681508E-3</v>
      </c>
      <c r="E914" s="2">
        <f t="shared" si="74"/>
        <v>4.2628599954938291E-2</v>
      </c>
      <c r="F914" s="2">
        <f t="shared" si="73"/>
        <v>9.6905551968041362E-2</v>
      </c>
      <c r="G914" s="2">
        <f t="shared" si="70"/>
        <v>9.6905551968041362E-2</v>
      </c>
    </row>
    <row r="915" spans="1:7" x14ac:dyDescent="0.25">
      <c r="A915" s="18">
        <v>18.239999999999998</v>
      </c>
      <c r="B915" s="2">
        <v>-1.396E-2</v>
      </c>
      <c r="C915" s="2">
        <f t="shared" si="71"/>
        <v>2.7919999999999998</v>
      </c>
      <c r="D915" s="2">
        <f t="shared" si="72"/>
        <v>-1.0379212736421205E-3</v>
      </c>
      <c r="E915" s="2">
        <f t="shared" si="74"/>
        <v>4.4104205945970344E-2</v>
      </c>
      <c r="F915" s="2">
        <f t="shared" si="73"/>
        <v>4.509763820926356E-2</v>
      </c>
      <c r="G915" s="2">
        <f t="shared" si="70"/>
        <v>4.509763820926356E-2</v>
      </c>
    </row>
    <row r="916" spans="1:7" x14ac:dyDescent="0.25">
      <c r="A916" s="18">
        <v>18.260000000000002</v>
      </c>
      <c r="B916" s="2">
        <v>-1.7500000000000002E-2</v>
      </c>
      <c r="C916" s="2">
        <f t="shared" si="71"/>
        <v>3.5000000000000004</v>
      </c>
      <c r="D916" s="2">
        <f t="shared" si="72"/>
        <v>7.8304824026761521E-4</v>
      </c>
      <c r="E916" s="2">
        <f t="shared" si="74"/>
        <v>4.5073261465650757E-2</v>
      </c>
      <c r="F916" s="2">
        <f t="shared" si="73"/>
        <v>-5.9914472080283172E-3</v>
      </c>
      <c r="G916" s="2">
        <f t="shared" si="70"/>
        <v>-5.9914472080283172E-3</v>
      </c>
    </row>
    <row r="917" spans="1:7" x14ac:dyDescent="0.25">
      <c r="A917" s="18">
        <v>18.28</v>
      </c>
      <c r="B917" s="2">
        <v>-2.104E-2</v>
      </c>
      <c r="C917" s="2">
        <f t="shared" si="71"/>
        <v>4.2080000000000002</v>
      </c>
      <c r="D917" s="2">
        <f t="shared" si="72"/>
        <v>2.6016211752941396E-3</v>
      </c>
      <c r="E917" s="2">
        <f t="shared" si="74"/>
        <v>4.5524237847743391E-2</v>
      </c>
      <c r="F917" s="2">
        <f t="shared" si="73"/>
        <v>-5.7008635258825026E-2</v>
      </c>
      <c r="G917" s="2">
        <f t="shared" si="70"/>
        <v>-5.7008635258825026E-2</v>
      </c>
    </row>
    <row r="918" spans="1:7" x14ac:dyDescent="0.25">
      <c r="A918" s="18">
        <v>18.3</v>
      </c>
      <c r="B918" s="2">
        <v>-2.4580000000000001E-2</v>
      </c>
      <c r="C918" s="2">
        <f t="shared" si="71"/>
        <v>4.9160000000000004</v>
      </c>
      <c r="D918" s="2">
        <f t="shared" si="72"/>
        <v>4.3973906562171337E-3</v>
      </c>
      <c r="E918" s="2">
        <f t="shared" si="74"/>
        <v>4.5464323375663106E-2</v>
      </c>
      <c r="F918" s="2">
        <f t="shared" si="73"/>
        <v>-0.10734171968651432</v>
      </c>
      <c r="G918" s="2">
        <f t="shared" si="70"/>
        <v>-0.10734171968651432</v>
      </c>
    </row>
    <row r="919" spans="1:7" x14ac:dyDescent="0.25">
      <c r="A919" s="18">
        <v>18.32</v>
      </c>
      <c r="B919" s="2">
        <v>-2.8129999999999999E-2</v>
      </c>
      <c r="C919" s="2">
        <f t="shared" si="71"/>
        <v>5.6259999999999994</v>
      </c>
      <c r="D919" s="2">
        <f t="shared" si="72"/>
        <v>6.1502234492655222E-3</v>
      </c>
      <c r="E919" s="2">
        <f t="shared" si="74"/>
        <v>4.4894237023074851E-2</v>
      </c>
      <c r="F919" s="2">
        <f t="shared" si="73"/>
        <v>-0.1563767034779657</v>
      </c>
      <c r="G919" s="2">
        <f t="shared" si="70"/>
        <v>-0.1563767034779657</v>
      </c>
    </row>
    <row r="920" spans="1:7" x14ac:dyDescent="0.25">
      <c r="A920" s="18">
        <v>18.34</v>
      </c>
      <c r="B920" s="2">
        <v>-3.1669999999999997E-2</v>
      </c>
      <c r="C920" s="2">
        <f t="shared" si="71"/>
        <v>6.3339999999999996</v>
      </c>
      <c r="D920" s="2">
        <f t="shared" si="72"/>
        <v>7.8405055609227243E-3</v>
      </c>
      <c r="E920" s="2">
        <f t="shared" si="74"/>
        <v>4.3820819826209709E-2</v>
      </c>
      <c r="F920" s="2">
        <f t="shared" si="73"/>
        <v>-0.20354516682768389</v>
      </c>
      <c r="G920" s="2">
        <f t="shared" si="70"/>
        <v>-0.20354516682768389</v>
      </c>
    </row>
    <row r="921" spans="1:7" x14ac:dyDescent="0.25">
      <c r="A921" s="18">
        <v>18.36</v>
      </c>
      <c r="B921" s="2">
        <v>-3.5209999999999998E-2</v>
      </c>
      <c r="C921" s="2">
        <f t="shared" si="71"/>
        <v>7.0419999999999998</v>
      </c>
      <c r="D921" s="2">
        <f t="shared" si="72"/>
        <v>9.4493696058488529E-3</v>
      </c>
      <c r="E921" s="2">
        <f t="shared" si="74"/>
        <v>4.225705279143005E-2</v>
      </c>
      <c r="F921" s="2">
        <f t="shared" si="73"/>
        <v>-0.24827108817546822</v>
      </c>
      <c r="G921" s="2">
        <f t="shared" si="70"/>
        <v>-0.24827108817546822</v>
      </c>
    </row>
    <row r="922" spans="1:7" x14ac:dyDescent="0.25">
      <c r="A922" s="18">
        <v>18.38</v>
      </c>
      <c r="B922" s="2">
        <v>-4.2049999999999997E-2</v>
      </c>
      <c r="C922" s="2">
        <f t="shared" si="71"/>
        <v>8.41</v>
      </c>
      <c r="D922" s="2">
        <f t="shared" si="72"/>
        <v>1.0958925215504794E-2</v>
      </c>
      <c r="E922" s="2">
        <f t="shared" si="74"/>
        <v>4.0221601123153213E-2</v>
      </c>
      <c r="F922" s="2">
        <f t="shared" si="73"/>
        <v>-0.28671775646514108</v>
      </c>
      <c r="G922" s="2">
        <f t="shared" si="70"/>
        <v>-0.28671775646514108</v>
      </c>
    </row>
    <row r="923" spans="1:7" x14ac:dyDescent="0.25">
      <c r="A923" s="18">
        <v>18.399999999999999</v>
      </c>
      <c r="B923" s="2">
        <v>-4.8890000000000003E-2</v>
      </c>
      <c r="C923" s="2">
        <f t="shared" si="71"/>
        <v>9.7780000000000005</v>
      </c>
      <c r="D923" s="2">
        <f t="shared" si="72"/>
        <v>1.2353793722574679E-2</v>
      </c>
      <c r="E923" s="2">
        <f t="shared" si="74"/>
        <v>3.773889024139853E-2</v>
      </c>
      <c r="F923" s="2">
        <f t="shared" si="73"/>
        <v>-0.32172381167723701</v>
      </c>
      <c r="G923" s="2">
        <f t="shared" si="70"/>
        <v>-0.32172381167723701</v>
      </c>
    </row>
    <row r="924" spans="1:7" x14ac:dyDescent="0.25">
      <c r="A924" s="18">
        <v>18.420000000000002</v>
      </c>
      <c r="B924" s="2">
        <v>-3.5589999999999997E-2</v>
      </c>
      <c r="C924" s="2">
        <f t="shared" si="71"/>
        <v>7.1179999999999994</v>
      </c>
      <c r="D924" s="2">
        <f t="shared" si="72"/>
        <v>1.3619972704973669E-2</v>
      </c>
      <c r="E924" s="2">
        <f t="shared" si="74"/>
        <v>3.4871712676747123E-2</v>
      </c>
      <c r="F924" s="2">
        <f t="shared" si="73"/>
        <v>-0.37300918114921422</v>
      </c>
      <c r="G924" s="2">
        <f t="shared" si="70"/>
        <v>-0.37300918114921422</v>
      </c>
    </row>
    <row r="925" spans="1:7" x14ac:dyDescent="0.25">
      <c r="A925" s="18">
        <v>18.440000000000001</v>
      </c>
      <c r="B925" s="2">
        <v>-2.2290000000000001E-2</v>
      </c>
      <c r="C925" s="2">
        <f t="shared" si="71"/>
        <v>4.4580000000000002</v>
      </c>
      <c r="D925" s="2">
        <f t="shared" si="72"/>
        <v>1.4736948014912973E-2</v>
      </c>
      <c r="E925" s="2">
        <f t="shared" si="74"/>
        <v>3.1654474559974749E-2</v>
      </c>
      <c r="F925" s="2">
        <f t="shared" si="73"/>
        <v>-0.41981844044737709</v>
      </c>
      <c r="G925" s="2">
        <f t="shared" si="70"/>
        <v>-0.41981844044737709</v>
      </c>
    </row>
    <row r="926" spans="1:7" x14ac:dyDescent="0.25">
      <c r="A926" s="18">
        <v>18.46</v>
      </c>
      <c r="B926" s="2">
        <v>-8.9899999999999997E-3</v>
      </c>
      <c r="C926" s="2">
        <f t="shared" si="71"/>
        <v>1.798</v>
      </c>
      <c r="D926" s="2">
        <f t="shared" si="72"/>
        <v>1.5685995948673325E-2</v>
      </c>
      <c r="E926" s="2">
        <f t="shared" si="74"/>
        <v>2.7924382748482607E-2</v>
      </c>
      <c r="F926" s="2">
        <f t="shared" si="73"/>
        <v>-0.46158987846019528</v>
      </c>
      <c r="G926" s="2">
        <f t="shared" si="70"/>
        <v>-0.46158987846019528</v>
      </c>
    </row>
    <row r="927" spans="1:7" x14ac:dyDescent="0.25">
      <c r="A927" s="18">
        <v>18.48</v>
      </c>
      <c r="B927" s="2">
        <v>4.3099999999999996E-3</v>
      </c>
      <c r="C927" s="2">
        <f t="shared" si="71"/>
        <v>-0.86199999999999988</v>
      </c>
      <c r="D927" s="2">
        <f t="shared" si="72"/>
        <v>1.6450407931049599E-2</v>
      </c>
      <c r="E927" s="2">
        <f t="shared" si="74"/>
        <v>2.3726198344008794E-2</v>
      </c>
      <c r="F927" s="2">
        <f t="shared" si="73"/>
        <v>-0.49782223793148023</v>
      </c>
      <c r="G927" s="2">
        <f t="shared" si="70"/>
        <v>-0.49782223793148023</v>
      </c>
    </row>
    <row r="928" spans="1:7" x14ac:dyDescent="0.25">
      <c r="A928" s="18">
        <v>18.5</v>
      </c>
      <c r="B928" s="2">
        <v>1.762E-2</v>
      </c>
      <c r="C928" s="2">
        <f t="shared" si="71"/>
        <v>-3.524</v>
      </c>
      <c r="D928" s="2">
        <f t="shared" si="72"/>
        <v>1.701569101825328E-2</v>
      </c>
      <c r="E928" s="2">
        <f t="shared" si="74"/>
        <v>1.9110299559406841E-2</v>
      </c>
      <c r="F928" s="2">
        <f t="shared" si="73"/>
        <v>-0.52809073054760169</v>
      </c>
      <c r="G928" s="2">
        <f t="shared" si="70"/>
        <v>-0.52809073054760169</v>
      </c>
    </row>
    <row r="929" spans="1:7" x14ac:dyDescent="0.25">
      <c r="A929" s="18">
        <v>18.52</v>
      </c>
      <c r="B929" s="2">
        <v>7.1399999999999996E-3</v>
      </c>
      <c r="C929" s="2">
        <f t="shared" si="71"/>
        <v>-1.4279999999999999</v>
      </c>
      <c r="D929" s="2">
        <f t="shared" si="72"/>
        <v>1.7369737813237921E-2</v>
      </c>
      <c r="E929" s="2">
        <f t="shared" si="74"/>
        <v>1.4132077180092038E-2</v>
      </c>
      <c r="F929" s="2">
        <f t="shared" si="73"/>
        <v>-0.52823213439714267</v>
      </c>
      <c r="G929" s="2">
        <f t="shared" si="70"/>
        <v>-0.52823213439714267</v>
      </c>
    </row>
    <row r="930" spans="1:7" x14ac:dyDescent="0.25">
      <c r="A930" s="18">
        <v>18.54</v>
      </c>
      <c r="B930" s="2">
        <v>-3.3400000000000001E-3</v>
      </c>
      <c r="C930" s="2">
        <f t="shared" si="71"/>
        <v>0.66800000000000004</v>
      </c>
      <c r="D930" s="2">
        <f t="shared" si="72"/>
        <v>1.7512491754463705E-2</v>
      </c>
      <c r="E930" s="2">
        <f t="shared" si="74"/>
        <v>8.851169874616021E-3</v>
      </c>
      <c r="F930" s="2">
        <f t="shared" si="73"/>
        <v>-0.52203475263390942</v>
      </c>
      <c r="G930" s="2">
        <f t="shared" si="70"/>
        <v>-0.52203475263390942</v>
      </c>
    </row>
    <row r="931" spans="1:7" x14ac:dyDescent="0.25">
      <c r="A931" s="18">
        <v>18.559999999999999</v>
      </c>
      <c r="B931" s="2">
        <v>-1.383E-2</v>
      </c>
      <c r="C931" s="2">
        <f t="shared" si="71"/>
        <v>2.766</v>
      </c>
      <c r="D931" s="2">
        <f t="shared" si="72"/>
        <v>1.7446431794635925E-2</v>
      </c>
      <c r="E931" s="2">
        <f t="shared" si="74"/>
        <v>3.5688485306445937E-3</v>
      </c>
      <c r="F931" s="2">
        <f t="shared" si="73"/>
        <v>-0.50956295383908745</v>
      </c>
      <c r="G931" s="2">
        <f t="shared" si="70"/>
        <v>-0.50956295383908745</v>
      </c>
    </row>
    <row r="932" spans="1:7" x14ac:dyDescent="0.25">
      <c r="A932" s="18">
        <v>18.579999999999998</v>
      </c>
      <c r="B932" s="2">
        <v>1.3140000000000001E-2</v>
      </c>
      <c r="C932" s="2">
        <f t="shared" si="71"/>
        <v>-2.6280000000000001</v>
      </c>
      <c r="D932" s="2">
        <f t="shared" si="72"/>
        <v>1.717654665327251E-2</v>
      </c>
      <c r="E932" s="2">
        <f t="shared" si="74"/>
        <v>-1.6514989956945003E-3</v>
      </c>
      <c r="F932" s="2">
        <f t="shared" si="73"/>
        <v>-0.52843639959817246</v>
      </c>
      <c r="G932" s="2">
        <f t="shared" si="70"/>
        <v>-0.52843639959817246</v>
      </c>
    </row>
    <row r="933" spans="1:7" x14ac:dyDescent="0.25">
      <c r="A933" s="18">
        <v>18.600000000000001</v>
      </c>
      <c r="B933" s="2">
        <v>4.011E-2</v>
      </c>
      <c r="C933" s="2">
        <f t="shared" si="71"/>
        <v>-8.0220000000000002</v>
      </c>
      <c r="D933" s="2">
        <f t="shared" si="72"/>
        <v>1.6695286952069826E-2</v>
      </c>
      <c r="E933" s="2">
        <f t="shared" si="74"/>
        <v>-6.7471285340853747E-3</v>
      </c>
      <c r="F933" s="2">
        <f t="shared" si="73"/>
        <v>-0.54096860856210971</v>
      </c>
      <c r="G933" s="2">
        <f t="shared" si="70"/>
        <v>-0.54096860856210971</v>
      </c>
    </row>
    <row r="934" spans="1:7" x14ac:dyDescent="0.25">
      <c r="A934" s="18">
        <v>18.62</v>
      </c>
      <c r="B934" s="2">
        <v>6.7080000000000001E-2</v>
      </c>
      <c r="C934" s="2">
        <f t="shared" si="71"/>
        <v>-13.416</v>
      </c>
      <c r="D934" s="2">
        <f t="shared" si="72"/>
        <v>1.5997639807442298E-2</v>
      </c>
      <c r="E934" s="2">
        <f t="shared" si="74"/>
        <v>-1.2031492530067099E-2</v>
      </c>
      <c r="F934" s="2">
        <f t="shared" si="73"/>
        <v>-0.54700919422326444</v>
      </c>
      <c r="G934" s="2">
        <f t="shared" si="70"/>
        <v>-0.54700919422326444</v>
      </c>
    </row>
    <row r="935" spans="1:7" x14ac:dyDescent="0.25">
      <c r="A935" s="18">
        <v>18.64</v>
      </c>
      <c r="B935" s="2">
        <v>4.82E-2</v>
      </c>
      <c r="C935" s="2">
        <f t="shared" si="71"/>
        <v>-9.64</v>
      </c>
      <c r="D935" s="2">
        <f t="shared" si="72"/>
        <v>1.5081188985125464E-2</v>
      </c>
      <c r="E935" s="2">
        <f t="shared" si="74"/>
        <v>-1.7441178615688196E-2</v>
      </c>
      <c r="F935" s="2">
        <f t="shared" si="73"/>
        <v>-0.50063566955376237</v>
      </c>
      <c r="G935" s="2">
        <f t="shared" si="70"/>
        <v>-0.50063566955376237</v>
      </c>
    </row>
    <row r="936" spans="1:7" x14ac:dyDescent="0.25">
      <c r="A936" s="18">
        <v>18.66</v>
      </c>
      <c r="B936" s="2">
        <v>2.9319999999999999E-2</v>
      </c>
      <c r="C936" s="2">
        <f t="shared" si="71"/>
        <v>-5.8639999999999999</v>
      </c>
      <c r="D936" s="2">
        <f t="shared" si="72"/>
        <v>1.3964483894987126E-2</v>
      </c>
      <c r="E936" s="2">
        <f t="shared" si="74"/>
        <v>-2.2911270557920839E-2</v>
      </c>
      <c r="F936" s="2">
        <f t="shared" si="73"/>
        <v>-0.44825451684960771</v>
      </c>
      <c r="G936" s="2">
        <f t="shared" si="70"/>
        <v>-0.44825451684960771</v>
      </c>
    </row>
    <row r="937" spans="1:7" x14ac:dyDescent="0.25">
      <c r="A937" s="18">
        <v>18.68</v>
      </c>
      <c r="B937" s="2">
        <v>1.043E-2</v>
      </c>
      <c r="C937" s="2">
        <f t="shared" si="71"/>
        <v>-2.0859999999999999</v>
      </c>
      <c r="D937" s="2">
        <f t="shared" si="72"/>
        <v>1.2668476998108944E-2</v>
      </c>
      <c r="E937" s="2">
        <f t="shared" si="74"/>
        <v>-2.7917627253458463E-2</v>
      </c>
      <c r="F937" s="2">
        <f t="shared" si="73"/>
        <v>-0.39048430994326461</v>
      </c>
      <c r="G937" s="2">
        <f t="shared" si="70"/>
        <v>-0.39048430994326461</v>
      </c>
    </row>
    <row r="938" spans="1:7" x14ac:dyDescent="0.25">
      <c r="A938" s="18">
        <v>18.7</v>
      </c>
      <c r="B938" s="2">
        <v>-8.4499999999999992E-3</v>
      </c>
      <c r="C938" s="2">
        <f t="shared" si="71"/>
        <v>1.69</v>
      </c>
      <c r="D938" s="2">
        <f t="shared" si="72"/>
        <v>1.1216276377253457E-2</v>
      </c>
      <c r="E938" s="2">
        <f t="shared" si="74"/>
        <v>-3.2400172421954539E-2</v>
      </c>
      <c r="F938" s="2">
        <f t="shared" si="73"/>
        <v>-0.32803829131760293</v>
      </c>
      <c r="G938" s="2">
        <f t="shared" si="70"/>
        <v>-0.32803829131760293</v>
      </c>
    </row>
    <row r="939" spans="1:7" x14ac:dyDescent="0.25">
      <c r="A939" s="18">
        <v>18.72</v>
      </c>
      <c r="B939" s="2">
        <v>-2.733E-2</v>
      </c>
      <c r="C939" s="2">
        <f t="shared" si="71"/>
        <v>5.4660000000000002</v>
      </c>
      <c r="D939" s="2">
        <f t="shared" si="72"/>
        <v>9.6328604398709279E-3</v>
      </c>
      <c r="E939" s="2">
        <f t="shared" si="74"/>
        <v>-3.6305015521387186E-2</v>
      </c>
      <c r="F939" s="2">
        <f t="shared" si="73"/>
        <v>-0.26165581319612541</v>
      </c>
      <c r="G939" s="2">
        <f t="shared" si="70"/>
        <v>-0.26165581319612541</v>
      </c>
    </row>
    <row r="940" spans="1:7" x14ac:dyDescent="0.25">
      <c r="A940" s="18">
        <v>18.739999999999998</v>
      </c>
      <c r="B940" s="2">
        <v>-4.6210000000000001E-2</v>
      </c>
      <c r="C940" s="2">
        <f t="shared" si="71"/>
        <v>9.2420000000000009</v>
      </c>
      <c r="D940" s="2">
        <f t="shared" si="72"/>
        <v>7.944782177209949E-3</v>
      </c>
      <c r="E940" s="2">
        <f t="shared" si="74"/>
        <v>-3.958539843456322E-2</v>
      </c>
      <c r="F940" s="2">
        <f t="shared" si="73"/>
        <v>-0.19213346531629907</v>
      </c>
      <c r="G940" s="2">
        <f t="shared" si="70"/>
        <v>-0.19213346531629907</v>
      </c>
    </row>
    <row r="941" spans="1:7" x14ac:dyDescent="0.25">
      <c r="A941" s="18">
        <v>18.760000000000002</v>
      </c>
      <c r="B941" s="2">
        <v>-3.1550000000000002E-2</v>
      </c>
      <c r="C941" s="2">
        <f t="shared" si="71"/>
        <v>6.3100000000000005</v>
      </c>
      <c r="D941" s="2">
        <f t="shared" si="72"/>
        <v>6.1798505284224505E-3</v>
      </c>
      <c r="E941" s="2">
        <f t="shared" si="74"/>
        <v>-4.2201956566524472E-2</v>
      </c>
      <c r="F941" s="2">
        <f t="shared" si="73"/>
        <v>-0.15384551585267275</v>
      </c>
      <c r="G941" s="2">
        <f t="shared" si="70"/>
        <v>-0.15384551585267275</v>
      </c>
    </row>
    <row r="942" spans="1:7" x14ac:dyDescent="0.25">
      <c r="A942" s="18">
        <v>18.78</v>
      </c>
      <c r="B942" s="2">
        <v>-1.6879999999999999E-2</v>
      </c>
      <c r="C942" s="2">
        <f t="shared" si="71"/>
        <v>3.3759999999999999</v>
      </c>
      <c r="D942" s="2">
        <f t="shared" si="72"/>
        <v>4.3533806732938829E-3</v>
      </c>
      <c r="E942" s="2">
        <f t="shared" si="74"/>
        <v>-4.4123291219687465E-2</v>
      </c>
      <c r="F942" s="2">
        <f t="shared" si="73"/>
        <v>-0.11372142019881692</v>
      </c>
      <c r="G942" s="2">
        <f t="shared" si="70"/>
        <v>-0.11372142019881692</v>
      </c>
    </row>
    <row r="943" spans="1:7" x14ac:dyDescent="0.25">
      <c r="A943" s="18">
        <v>18.8</v>
      </c>
      <c r="B943" s="2">
        <v>-2.2200000000000002E-3</v>
      </c>
      <c r="C943" s="2">
        <f t="shared" si="71"/>
        <v>0.44400000000000006</v>
      </c>
      <c r="D943" s="2">
        <f t="shared" si="72"/>
        <v>2.4814222500857885E-3</v>
      </c>
      <c r="E943" s="2">
        <f t="shared" si="74"/>
        <v>-4.5661746378214192E-2</v>
      </c>
      <c r="F943" s="2">
        <f t="shared" si="73"/>
        <v>-7.2222667502573321E-2</v>
      </c>
      <c r="G943" s="2">
        <f t="shared" si="70"/>
        <v>-7.2222667502573321E-2</v>
      </c>
    </row>
    <row r="944" spans="1:7" x14ac:dyDescent="0.25">
      <c r="A944" s="18">
        <v>18.82</v>
      </c>
      <c r="B944" s="2">
        <v>1.244E-2</v>
      </c>
      <c r="C944" s="2">
        <f t="shared" si="71"/>
        <v>-2.488</v>
      </c>
      <c r="D944" s="2">
        <f t="shared" si="72"/>
        <v>5.8057475987666478E-4</v>
      </c>
      <c r="E944" s="2">
        <f t="shared" si="74"/>
        <v>-4.6798960580202359E-2</v>
      </c>
      <c r="F944" s="2">
        <f t="shared" si="73"/>
        <v>-2.9857242796300313E-2</v>
      </c>
      <c r="G944" s="2">
        <f t="shared" si="70"/>
        <v>-2.9857242796300313E-2</v>
      </c>
    </row>
    <row r="945" spans="1:7" x14ac:dyDescent="0.25">
      <c r="A945" s="18">
        <v>18.84</v>
      </c>
      <c r="B945" s="2">
        <v>2.683E-2</v>
      </c>
      <c r="C945" s="2">
        <f t="shared" si="71"/>
        <v>-5.3659999999999997</v>
      </c>
      <c r="D945" s="2">
        <f t="shared" si="72"/>
        <v>-1.3322156274509791E-3</v>
      </c>
      <c r="E945" s="2">
        <f t="shared" si="74"/>
        <v>-4.7521187255228095E-2</v>
      </c>
      <c r="F945" s="2">
        <f t="shared" si="73"/>
        <v>1.313646882352879E-2</v>
      </c>
      <c r="G945" s="2">
        <f t="shared" si="70"/>
        <v>1.313646882352879E-2</v>
      </c>
    </row>
    <row r="946" spans="1:7" x14ac:dyDescent="0.25">
      <c r="A946" s="18">
        <v>18.86</v>
      </c>
      <c r="B946" s="2">
        <v>4.1209999999999997E-2</v>
      </c>
      <c r="C946" s="2">
        <f t="shared" si="71"/>
        <v>-8.2419999999999991</v>
      </c>
      <c r="D946" s="2">
        <f t="shared" si="72"/>
        <v>-3.2397514272492112E-3</v>
      </c>
      <c r="E946" s="2">
        <f t="shared" si="74"/>
        <v>-4.7819759683191097E-2</v>
      </c>
      <c r="F946" s="2">
        <f t="shared" si="73"/>
        <v>5.5982542817476721E-2</v>
      </c>
      <c r="G946" s="2">
        <f t="shared" si="70"/>
        <v>5.5982542817476721E-2</v>
      </c>
    </row>
    <row r="947" spans="1:7" x14ac:dyDescent="0.25">
      <c r="A947" s="18">
        <v>18.88</v>
      </c>
      <c r="B947" s="2">
        <v>5.5590000000000001E-2</v>
      </c>
      <c r="C947" s="2">
        <f t="shared" si="71"/>
        <v>-11.118</v>
      </c>
      <c r="D947" s="2">
        <f t="shared" si="72"/>
        <v>-5.124894209920453E-3</v>
      </c>
      <c r="E947" s="2">
        <f t="shared" si="74"/>
        <v>-4.76883949949558E-2</v>
      </c>
      <c r="F947" s="2">
        <f t="shared" si="73"/>
        <v>9.8156826297615685E-2</v>
      </c>
      <c r="G947" s="2">
        <f t="shared" si="70"/>
        <v>9.8156826297615685E-2</v>
      </c>
    </row>
    <row r="948" spans="1:7" x14ac:dyDescent="0.25">
      <c r="A948" s="18">
        <v>18.899999999999999</v>
      </c>
      <c r="B948" s="2">
        <v>3.2530000000000003E-2</v>
      </c>
      <c r="C948" s="2">
        <f t="shared" si="71"/>
        <v>-6.5060000000000002</v>
      </c>
      <c r="D948" s="2">
        <f t="shared" si="72"/>
        <v>-6.9707742620726491E-3</v>
      </c>
      <c r="E948" s="2">
        <f t="shared" si="74"/>
        <v>-4.7128569566781048E-2</v>
      </c>
      <c r="F948" s="2">
        <f t="shared" si="73"/>
        <v>0.17659322786217624</v>
      </c>
      <c r="G948" s="2">
        <f t="shared" si="70"/>
        <v>0.17659322786217624</v>
      </c>
    </row>
    <row r="949" spans="1:7" x14ac:dyDescent="0.25">
      <c r="A949" s="18">
        <v>18.920000000000002</v>
      </c>
      <c r="B949" s="2">
        <v>9.4599999999999997E-3</v>
      </c>
      <c r="C949" s="2">
        <f t="shared" si="71"/>
        <v>-1.8919999999999999</v>
      </c>
      <c r="D949" s="2">
        <f t="shared" si="72"/>
        <v>-8.7460170230799737E-3</v>
      </c>
      <c r="E949" s="2">
        <f t="shared" si="74"/>
        <v>-4.6147001303804898E-2</v>
      </c>
      <c r="F949" s="2">
        <f t="shared" si="73"/>
        <v>0.2529205106924009</v>
      </c>
      <c r="G949" s="2">
        <f t="shared" si="70"/>
        <v>0.2529205106924009</v>
      </c>
    </row>
    <row r="950" spans="1:7" x14ac:dyDescent="0.25">
      <c r="A950" s="18">
        <v>18.940000000000001</v>
      </c>
      <c r="B950" s="2">
        <v>-1.3599999999999999E-2</v>
      </c>
      <c r="C950" s="2">
        <f t="shared" si="71"/>
        <v>2.7199999999999998</v>
      </c>
      <c r="D950" s="2">
        <f t="shared" si="72"/>
        <v>-1.0420091579810338E-2</v>
      </c>
      <c r="E950" s="2">
        <f t="shared" si="74"/>
        <v>-4.4381069025183115E-2</v>
      </c>
      <c r="F950" s="2">
        <f t="shared" si="73"/>
        <v>0.32620274739430988</v>
      </c>
      <c r="G950" s="2">
        <f t="shared" si="70"/>
        <v>0.32620274739430988</v>
      </c>
    </row>
    <row r="951" spans="1:7" x14ac:dyDescent="0.25">
      <c r="A951" s="18">
        <v>18.96</v>
      </c>
      <c r="B951" s="2">
        <v>-1.4319999999999999E-2</v>
      </c>
      <c r="C951" s="2">
        <f t="shared" si="71"/>
        <v>2.8639999999999999</v>
      </c>
      <c r="D951" s="2">
        <f t="shared" si="72"/>
        <v>-1.1963685037582978E-2</v>
      </c>
      <c r="E951" s="2">
        <f t="shared" si="74"/>
        <v>-4.1851863918259104E-2</v>
      </c>
      <c r="F951" s="2">
        <f t="shared" si="73"/>
        <v>0.37323055112749126</v>
      </c>
      <c r="G951" s="2">
        <f t="shared" si="70"/>
        <v>0.37323055112749126</v>
      </c>
    </row>
    <row r="952" spans="1:7" x14ac:dyDescent="0.25">
      <c r="A952" s="18">
        <v>18.98</v>
      </c>
      <c r="B952" s="2">
        <v>-1.504E-2</v>
      </c>
      <c r="C952" s="2">
        <f t="shared" si="71"/>
        <v>3.008</v>
      </c>
      <c r="D952" s="2">
        <f t="shared" si="72"/>
        <v>-1.3357986274904622E-2</v>
      </c>
      <c r="E952" s="2">
        <f t="shared" si="74"/>
        <v>-3.858983644431601E-2</v>
      </c>
      <c r="F952" s="2">
        <f t="shared" si="73"/>
        <v>0.41577958824714173</v>
      </c>
      <c r="G952" s="2">
        <f t="shared" si="70"/>
        <v>0.41577958824714173</v>
      </c>
    </row>
    <row r="953" spans="1:7" x14ac:dyDescent="0.25">
      <c r="A953" s="18">
        <v>19</v>
      </c>
      <c r="B953" s="2">
        <v>-1.576E-2</v>
      </c>
      <c r="C953" s="2">
        <f t="shared" si="71"/>
        <v>3.1520000000000001</v>
      </c>
      <c r="D953" s="2">
        <f t="shared" si="72"/>
        <v>-1.4585975676927409E-2</v>
      </c>
      <c r="E953" s="2">
        <f t="shared" si="74"/>
        <v>-3.4857530933041093E-2</v>
      </c>
      <c r="F953" s="2">
        <f t="shared" si="73"/>
        <v>0.45333927030781829</v>
      </c>
      <c r="G953" s="2">
        <f t="shared" si="70"/>
        <v>0.45333927030781829</v>
      </c>
    </row>
    <row r="954" spans="1:7" x14ac:dyDescent="0.25">
      <c r="A954" s="18">
        <v>19.02</v>
      </c>
      <c r="B954" s="2">
        <v>-4.2090000000000002E-2</v>
      </c>
      <c r="C954" s="2">
        <f t="shared" si="71"/>
        <v>8.418000000000001</v>
      </c>
      <c r="D954" s="2">
        <f t="shared" si="72"/>
        <v>-1.5632629370827069E-2</v>
      </c>
      <c r="E954" s="2">
        <f t="shared" si="74"/>
        <v>-3.0699735050569676E-2</v>
      </c>
      <c r="F954" s="2">
        <f t="shared" si="73"/>
        <v>0.51106888112480675</v>
      </c>
      <c r="G954" s="2">
        <f t="shared" si="70"/>
        <v>0.51106888112480675</v>
      </c>
    </row>
    <row r="955" spans="1:7" x14ac:dyDescent="0.25">
      <c r="A955" s="18">
        <v>19.04</v>
      </c>
      <c r="B955" s="2">
        <v>-2.6849999999999999E-2</v>
      </c>
      <c r="C955" s="2">
        <f t="shared" si="71"/>
        <v>5.37</v>
      </c>
      <c r="D955" s="2">
        <f t="shared" si="72"/>
        <v>-1.6474855512276804E-2</v>
      </c>
      <c r="E955" s="2">
        <f t="shared" si="74"/>
        <v>-2.6166342347491493E-2</v>
      </c>
      <c r="F955" s="2">
        <f t="shared" si="73"/>
        <v>0.52109566536831176</v>
      </c>
      <c r="G955" s="2">
        <f t="shared" si="70"/>
        <v>0.52109566536831176</v>
      </c>
    </row>
    <row r="956" spans="1:7" x14ac:dyDescent="0.25">
      <c r="A956" s="18">
        <v>19.059999999999999</v>
      </c>
      <c r="B956" s="2">
        <v>-1.1610000000000001E-2</v>
      </c>
      <c r="C956" s="2">
        <f t="shared" si="71"/>
        <v>2.3220000000000001</v>
      </c>
      <c r="D956" s="2">
        <f t="shared" si="72"/>
        <v>-1.7108643387579215E-2</v>
      </c>
      <c r="E956" s="2">
        <f t="shared" si="74"/>
        <v>-2.1055653536243384E-2</v>
      </c>
      <c r="F956" s="2">
        <f t="shared" si="73"/>
        <v>0.52486930162737655</v>
      </c>
      <c r="G956" s="2">
        <f t="shared" si="70"/>
        <v>0.52486930162737655</v>
      </c>
    </row>
    <row r="957" spans="1:7" x14ac:dyDescent="0.25">
      <c r="A957" s="18">
        <v>19.079999999999998</v>
      </c>
      <c r="B957" s="2">
        <v>3.63E-3</v>
      </c>
      <c r="C957" s="2">
        <f t="shared" si="71"/>
        <v>-0.72599999999999998</v>
      </c>
      <c r="D957" s="2">
        <f t="shared" si="72"/>
        <v>-1.7532483542230675E-2</v>
      </c>
      <c r="E957" s="2">
        <f t="shared" si="74"/>
        <v>-1.5844696882560266E-2</v>
      </c>
      <c r="F957" s="2">
        <f t="shared" si="73"/>
        <v>0.52234450626692175</v>
      </c>
      <c r="G957" s="2">
        <f t="shared" si="70"/>
        <v>0.52234450626692175</v>
      </c>
    </row>
    <row r="958" spans="1:7" x14ac:dyDescent="0.25">
      <c r="A958" s="18">
        <v>19.100000000000001</v>
      </c>
      <c r="B958" s="2">
        <v>1.8870000000000001E-2</v>
      </c>
      <c r="C958" s="2">
        <f t="shared" si="71"/>
        <v>-3.7740000000000005</v>
      </c>
      <c r="D958" s="2">
        <f t="shared" si="72"/>
        <v>-1.7747385894375366E-2</v>
      </c>
      <c r="E958" s="2">
        <f t="shared" si="74"/>
        <v>-1.0596003866286501E-2</v>
      </c>
      <c r="F958" s="2">
        <f t="shared" si="73"/>
        <v>0.51355157683125563</v>
      </c>
      <c r="G958" s="2">
        <f t="shared" si="70"/>
        <v>0.51355157683125563</v>
      </c>
    </row>
    <row r="959" spans="1:7" x14ac:dyDescent="0.25">
      <c r="A959" s="18">
        <v>19.12</v>
      </c>
      <c r="B959" s="2">
        <v>3.4110000000000001E-2</v>
      </c>
      <c r="C959" s="2">
        <f t="shared" si="71"/>
        <v>-6.8220000000000001</v>
      </c>
      <c r="D959" s="2">
        <f t="shared" si="72"/>
        <v>-1.7756867615787555E-2</v>
      </c>
      <c r="E959" s="2">
        <f t="shared" si="74"/>
        <v>-5.3725588036172833E-3</v>
      </c>
      <c r="F959" s="2">
        <f t="shared" si="73"/>
        <v>0.49859602847361628</v>
      </c>
      <c r="G959" s="2">
        <f t="shared" si="70"/>
        <v>0.49859602847361628</v>
      </c>
    </row>
    <row r="960" spans="1:7" x14ac:dyDescent="0.25">
      <c r="A960" s="18">
        <v>19.14</v>
      </c>
      <c r="B960" s="2">
        <v>3.1150000000000001E-2</v>
      </c>
      <c r="C960" s="2">
        <f t="shared" si="71"/>
        <v>-6.23</v>
      </c>
      <c r="D960" s="2">
        <f t="shared" si="72"/>
        <v>-1.7566910925810298E-2</v>
      </c>
      <c r="E960" s="2">
        <f t="shared" si="74"/>
        <v>-2.3704303530472717E-4</v>
      </c>
      <c r="F960" s="2">
        <f t="shared" si="73"/>
        <v>0.4958573277743204</v>
      </c>
      <c r="G960" s="2">
        <f t="shared" si="70"/>
        <v>0.4958573277743204</v>
      </c>
    </row>
    <row r="961" spans="1:7" x14ac:dyDescent="0.25">
      <c r="A961" s="18">
        <v>19.16</v>
      </c>
      <c r="B961" s="2">
        <v>2.819E-2</v>
      </c>
      <c r="C961" s="2">
        <f t="shared" si="71"/>
        <v>-5.6379999999999999</v>
      </c>
      <c r="D961" s="2">
        <f t="shared" si="72"/>
        <v>-1.7178611304723312E-2</v>
      </c>
      <c r="E961" s="2">
        <f t="shared" si="74"/>
        <v>4.7489172494314356E-3</v>
      </c>
      <c r="F961" s="2">
        <f t="shared" si="73"/>
        <v>0.48716833914170216</v>
      </c>
      <c r="G961" s="2">
        <f t="shared" si="70"/>
        <v>0.48716833914170216</v>
      </c>
    </row>
    <row r="962" spans="1:7" x14ac:dyDescent="0.25">
      <c r="A962" s="18">
        <v>19.18</v>
      </c>
      <c r="B962" s="2">
        <v>2.9170000000000001E-2</v>
      </c>
      <c r="C962" s="2">
        <f t="shared" si="71"/>
        <v>-5.8340000000000005</v>
      </c>
      <c r="D962" s="2">
        <f t="shared" si="72"/>
        <v>-1.6595444347979646E-2</v>
      </c>
      <c r="E962" s="2">
        <f t="shared" si="74"/>
        <v>9.7074905271746399E-3</v>
      </c>
      <c r="F962" s="2">
        <f t="shared" si="73"/>
        <v>0.46869333043939376</v>
      </c>
      <c r="G962" s="2">
        <f t="shared" ref="G962:G1025" si="75">HLOOKUP($Y$3,$B$1:$F$1562,ROW(),0)</f>
        <v>0.46869333043939376</v>
      </c>
    </row>
    <row r="963" spans="1:7" x14ac:dyDescent="0.25">
      <c r="A963" s="18">
        <v>19.2</v>
      </c>
      <c r="B963" s="2">
        <v>3.015E-2</v>
      </c>
      <c r="C963" s="2">
        <f t="shared" ref="C963:C1026" si="76">-$M$4*B963</f>
        <v>-6.03</v>
      </c>
      <c r="D963" s="2">
        <f t="shared" si="72"/>
        <v>-1.5824800059060222E-2</v>
      </c>
      <c r="E963" s="2">
        <f t="shared" si="74"/>
        <v>1.4579173918591662E-2</v>
      </c>
      <c r="F963" s="2">
        <f t="shared" si="73"/>
        <v>0.44459400177180186</v>
      </c>
      <c r="G963" s="2">
        <f t="shared" si="75"/>
        <v>0.44459400177180186</v>
      </c>
    </row>
    <row r="964" spans="1:7" x14ac:dyDescent="0.25">
      <c r="A964" s="18">
        <v>19.22</v>
      </c>
      <c r="B964" s="2">
        <v>3.1130000000000001E-2</v>
      </c>
      <c r="C964" s="2">
        <f t="shared" si="76"/>
        <v>-6.226</v>
      </c>
      <c r="D964" s="2">
        <f t="shared" ref="D964:D1027" si="77">(C963-($Q$6*D963)-($Q$7*D962))/$Q$5</f>
        <v>-1.4876318169432077E-2</v>
      </c>
      <c r="E964" s="2">
        <f t="shared" si="74"/>
        <v>1.92661072229856E-2</v>
      </c>
      <c r="F964" s="2">
        <f t="shared" ref="F964:F1027" si="78">(D963-2*D964+D965)/($A$4^2)</f>
        <v>0.41515954508295966</v>
      </c>
      <c r="G964" s="2">
        <f t="shared" si="75"/>
        <v>0.41515954508295966</v>
      </c>
    </row>
    <row r="965" spans="1:7" x14ac:dyDescent="0.25">
      <c r="A965" s="18">
        <v>19.239999999999998</v>
      </c>
      <c r="B965" s="2">
        <v>3.8800000000000002E-3</v>
      </c>
      <c r="C965" s="2">
        <f t="shared" si="76"/>
        <v>-0.77600000000000002</v>
      </c>
      <c r="D965" s="2">
        <f t="shared" si="77"/>
        <v>-1.3761772461770749E-2</v>
      </c>
      <c r="E965" s="2">
        <f t="shared" ref="E965:E1028" si="79">(D964-D963)/(2*$A$4)</f>
        <v>2.3712047240703617E-2</v>
      </c>
      <c r="F965" s="2">
        <f t="shared" si="78"/>
        <v>0.40897317385312282</v>
      </c>
      <c r="G965" s="2">
        <f t="shared" si="75"/>
        <v>0.40897317385312282</v>
      </c>
    </row>
    <row r="966" spans="1:7" x14ac:dyDescent="0.25">
      <c r="A966" s="18">
        <v>19.260000000000002</v>
      </c>
      <c r="B966" s="2">
        <v>-2.3369999999999998E-2</v>
      </c>
      <c r="C966" s="2">
        <f t="shared" si="76"/>
        <v>4.6739999999999995</v>
      </c>
      <c r="D966" s="2">
        <f t="shared" si="77"/>
        <v>-1.2483637484568171E-2</v>
      </c>
      <c r="E966" s="2">
        <f t="shared" si="79"/>
        <v>2.7863642691533214E-2</v>
      </c>
      <c r="F966" s="2">
        <f t="shared" si="78"/>
        <v>0.39787912453704499</v>
      </c>
      <c r="G966" s="2">
        <f t="shared" si="75"/>
        <v>0.39787912453704499</v>
      </c>
    </row>
    <row r="967" spans="1:7" x14ac:dyDescent="0.25">
      <c r="A967" s="18">
        <v>19.28</v>
      </c>
      <c r="B967" s="2">
        <v>-5.0619999999999998E-2</v>
      </c>
      <c r="C967" s="2">
        <f t="shared" si="76"/>
        <v>10.123999999999999</v>
      </c>
      <c r="D967" s="2">
        <f t="shared" si="77"/>
        <v>-1.1046350857550775E-2</v>
      </c>
      <c r="E967" s="2">
        <f t="shared" si="79"/>
        <v>3.1953374430064442E-2</v>
      </c>
      <c r="F967" s="2">
        <f t="shared" si="78"/>
        <v>0.38201052572652255</v>
      </c>
      <c r="G967" s="2">
        <f t="shared" si="75"/>
        <v>0.38201052572652255</v>
      </c>
    </row>
    <row r="968" spans="1:7" x14ac:dyDescent="0.25">
      <c r="A968" s="18">
        <v>19.3</v>
      </c>
      <c r="B968" s="2">
        <v>-3.8199999999999998E-2</v>
      </c>
      <c r="C968" s="2">
        <f t="shared" si="76"/>
        <v>7.64</v>
      </c>
      <c r="D968" s="2">
        <f t="shared" si="77"/>
        <v>-9.4562600202427703E-3</v>
      </c>
      <c r="E968" s="2">
        <f t="shared" si="79"/>
        <v>3.5932165675434891E-2</v>
      </c>
      <c r="F968" s="2">
        <f t="shared" si="78"/>
        <v>0.32188780060727867</v>
      </c>
      <c r="G968" s="2">
        <f t="shared" si="75"/>
        <v>0.32188780060727867</v>
      </c>
    </row>
    <row r="969" spans="1:7" x14ac:dyDescent="0.25">
      <c r="A969" s="18">
        <v>19.32</v>
      </c>
      <c r="B969" s="2">
        <v>-2.579E-2</v>
      </c>
      <c r="C969" s="2">
        <f t="shared" si="76"/>
        <v>5.1580000000000004</v>
      </c>
      <c r="D969" s="2">
        <f t="shared" si="77"/>
        <v>-7.7374140626918541E-3</v>
      </c>
      <c r="E969" s="2">
        <f t="shared" si="79"/>
        <v>3.9752270932700118E-2</v>
      </c>
      <c r="F969" s="2">
        <f t="shared" si="78"/>
        <v>0.25791242188076069</v>
      </c>
      <c r="G969" s="2">
        <f t="shared" si="75"/>
        <v>0.25791242188076069</v>
      </c>
    </row>
    <row r="970" spans="1:7" x14ac:dyDescent="0.25">
      <c r="A970" s="18">
        <v>19.34</v>
      </c>
      <c r="B970" s="2">
        <v>-1.337E-2</v>
      </c>
      <c r="C970" s="2">
        <f t="shared" si="76"/>
        <v>2.6739999999999999</v>
      </c>
      <c r="D970" s="2">
        <f t="shared" si="77"/>
        <v>-5.9154031363886335E-3</v>
      </c>
      <c r="E970" s="2">
        <f t="shared" si="79"/>
        <v>4.2971148938772907E-2</v>
      </c>
      <c r="F970" s="2">
        <f t="shared" si="78"/>
        <v>0.19083209409165822</v>
      </c>
      <c r="G970" s="2">
        <f t="shared" si="75"/>
        <v>0.19083209409165822</v>
      </c>
    </row>
    <row r="971" spans="1:7" x14ac:dyDescent="0.25">
      <c r="A971" s="18">
        <v>19.36</v>
      </c>
      <c r="B971" s="2">
        <v>-9.5E-4</v>
      </c>
      <c r="C971" s="2">
        <f t="shared" si="76"/>
        <v>0.19</v>
      </c>
      <c r="D971" s="2">
        <f t="shared" si="77"/>
        <v>-4.0170593724487497E-3</v>
      </c>
      <c r="E971" s="2">
        <f t="shared" si="79"/>
        <v>4.5550273157580513E-2</v>
      </c>
      <c r="F971" s="2">
        <f t="shared" si="78"/>
        <v>0.12146178117346272</v>
      </c>
      <c r="G971" s="2">
        <f t="shared" si="75"/>
        <v>0.12146178117346272</v>
      </c>
    </row>
    <row r="972" spans="1:7" x14ac:dyDescent="0.25">
      <c r="A972" s="18">
        <v>19.38</v>
      </c>
      <c r="B972" s="2">
        <v>1.146E-2</v>
      </c>
      <c r="C972" s="2">
        <f t="shared" si="76"/>
        <v>-2.2919999999999998</v>
      </c>
      <c r="D972" s="2">
        <f t="shared" si="77"/>
        <v>-2.0701308960394808E-3</v>
      </c>
      <c r="E972" s="2">
        <f t="shared" si="79"/>
        <v>4.7458594098497092E-2</v>
      </c>
      <c r="F972" s="2">
        <f t="shared" si="78"/>
        <v>5.0643926881184735E-2</v>
      </c>
      <c r="G972" s="2">
        <f t="shared" si="75"/>
        <v>5.0643926881184735E-2</v>
      </c>
    </row>
    <row r="973" spans="1:7" x14ac:dyDescent="0.25">
      <c r="A973" s="18">
        <v>19.399999999999999</v>
      </c>
      <c r="B973" s="2">
        <v>2.3879999999999998E-2</v>
      </c>
      <c r="C973" s="2">
        <f t="shared" si="76"/>
        <v>-4.7759999999999998</v>
      </c>
      <c r="D973" s="2">
        <f t="shared" si="77"/>
        <v>-1.0294484887773797E-4</v>
      </c>
      <c r="E973" s="2">
        <f t="shared" si="79"/>
        <v>4.8673211910231724E-2</v>
      </c>
      <c r="F973" s="2">
        <f t="shared" si="78"/>
        <v>-2.0791654533667644E-2</v>
      </c>
      <c r="G973" s="2">
        <f t="shared" si="75"/>
        <v>-2.0791654533667644E-2</v>
      </c>
    </row>
    <row r="974" spans="1:7" x14ac:dyDescent="0.25">
      <c r="A974" s="18">
        <v>19.420000000000002</v>
      </c>
      <c r="B974" s="2">
        <v>3.6290000000000003E-2</v>
      </c>
      <c r="C974" s="2">
        <f t="shared" si="76"/>
        <v>-7.2580000000000009</v>
      </c>
      <c r="D974" s="2">
        <f t="shared" si="77"/>
        <v>1.8559245364705378E-3</v>
      </c>
      <c r="E974" s="2">
        <f t="shared" si="79"/>
        <v>4.9179651179043569E-2</v>
      </c>
      <c r="F974" s="2">
        <f t="shared" si="78"/>
        <v>-9.1967736094116084E-2</v>
      </c>
      <c r="G974" s="2">
        <f t="shared" si="75"/>
        <v>-9.1967736094116084E-2</v>
      </c>
    </row>
    <row r="975" spans="1:7" x14ac:dyDescent="0.25">
      <c r="A975" s="18">
        <v>19.440000000000001</v>
      </c>
      <c r="B975" s="2">
        <v>1.047E-2</v>
      </c>
      <c r="C975" s="2">
        <f t="shared" si="76"/>
        <v>-2.0939999999999999</v>
      </c>
      <c r="D975" s="2">
        <f t="shared" si="77"/>
        <v>3.778006827381167E-3</v>
      </c>
      <c r="E975" s="2">
        <f t="shared" si="79"/>
        <v>4.8971734633706888E-2</v>
      </c>
      <c r="F975" s="2">
        <f t="shared" si="78"/>
        <v>-0.12381020482143652</v>
      </c>
      <c r="G975" s="2">
        <f t="shared" si="75"/>
        <v>-0.12381020482143652</v>
      </c>
    </row>
    <row r="976" spans="1:7" x14ac:dyDescent="0.25">
      <c r="A976" s="18">
        <v>19.46</v>
      </c>
      <c r="B976" s="2">
        <v>-1.5350000000000001E-2</v>
      </c>
      <c r="C976" s="2">
        <f t="shared" si="76"/>
        <v>3.0700000000000003</v>
      </c>
      <c r="D976" s="2">
        <f t="shared" si="77"/>
        <v>5.6505650363632221E-3</v>
      </c>
      <c r="E976" s="2">
        <f t="shared" si="79"/>
        <v>4.8052057272765729E-2</v>
      </c>
      <c r="F976" s="2">
        <f t="shared" si="78"/>
        <v>-0.15416695109089512</v>
      </c>
      <c r="G976" s="2">
        <f t="shared" si="75"/>
        <v>-0.15416695109089512</v>
      </c>
    </row>
    <row r="977" spans="1:7" x14ac:dyDescent="0.25">
      <c r="A977" s="18">
        <v>19.48</v>
      </c>
      <c r="B977" s="2">
        <v>-4.1169999999999998E-2</v>
      </c>
      <c r="C977" s="2">
        <f t="shared" si="76"/>
        <v>8.234</v>
      </c>
      <c r="D977" s="2">
        <f t="shared" si="77"/>
        <v>7.4614564649089186E-3</v>
      </c>
      <c r="E977" s="2">
        <f t="shared" si="79"/>
        <v>4.6813955224551375E-2</v>
      </c>
      <c r="F977" s="2">
        <f t="shared" si="78"/>
        <v>-0.18267369394726807</v>
      </c>
      <c r="G977" s="2">
        <f t="shared" si="75"/>
        <v>-0.18267369394726807</v>
      </c>
    </row>
    <row r="978" spans="1:7" x14ac:dyDescent="0.25">
      <c r="A978" s="18">
        <v>19.5</v>
      </c>
      <c r="B978" s="2">
        <v>-6.6989999999999994E-2</v>
      </c>
      <c r="C978" s="2">
        <f t="shared" si="76"/>
        <v>13.398</v>
      </c>
      <c r="D978" s="2">
        <f t="shared" si="77"/>
        <v>9.1992784158757088E-3</v>
      </c>
      <c r="E978" s="2">
        <f t="shared" si="79"/>
        <v>4.5272285713642411E-2</v>
      </c>
      <c r="F978" s="2">
        <f t="shared" si="78"/>
        <v>-0.20898835247627667</v>
      </c>
      <c r="G978" s="2">
        <f t="shared" si="75"/>
        <v>-0.20898835247627667</v>
      </c>
    </row>
    <row r="979" spans="1:7" x14ac:dyDescent="0.25">
      <c r="A979" s="18">
        <v>19.52</v>
      </c>
      <c r="B979" s="2">
        <v>-5.2069999999999998E-2</v>
      </c>
      <c r="C979" s="2">
        <f t="shared" si="76"/>
        <v>10.414</v>
      </c>
      <c r="D979" s="2">
        <f t="shared" si="77"/>
        <v>1.0853505025851988E-2</v>
      </c>
      <c r="E979" s="2">
        <f t="shared" si="79"/>
        <v>4.3445548774169757E-2</v>
      </c>
      <c r="F979" s="2">
        <f t="shared" si="78"/>
        <v>-0.27353515077555618</v>
      </c>
      <c r="G979" s="2">
        <f t="shared" si="75"/>
        <v>-0.27353515077555618</v>
      </c>
    </row>
    <row r="980" spans="1:7" x14ac:dyDescent="0.25">
      <c r="A980" s="18">
        <v>19.54</v>
      </c>
      <c r="B980" s="2">
        <v>-3.7150000000000002E-2</v>
      </c>
      <c r="C980" s="2">
        <f t="shared" si="76"/>
        <v>7.4300000000000006</v>
      </c>
      <c r="D980" s="2">
        <f t="shared" si="77"/>
        <v>1.2398317575518045E-2</v>
      </c>
      <c r="E980" s="2">
        <f t="shared" si="79"/>
        <v>4.1355665249406988E-2</v>
      </c>
      <c r="F980" s="2">
        <f t="shared" si="78"/>
        <v>-0.33479952726553786</v>
      </c>
      <c r="G980" s="2">
        <f t="shared" si="75"/>
        <v>-0.33479952726553786</v>
      </c>
    </row>
    <row r="981" spans="1:7" x14ac:dyDescent="0.25">
      <c r="A981" s="18">
        <v>19.559999999999999</v>
      </c>
      <c r="B981" s="2">
        <v>-2.222E-2</v>
      </c>
      <c r="C981" s="2">
        <f t="shared" si="76"/>
        <v>4.444</v>
      </c>
      <c r="D981" s="2">
        <f t="shared" si="77"/>
        <v>1.3809210314277887E-2</v>
      </c>
      <c r="E981" s="2">
        <f t="shared" si="79"/>
        <v>3.8620313741651424E-2</v>
      </c>
      <c r="F981" s="2">
        <f t="shared" si="78"/>
        <v>-0.39205630942833625</v>
      </c>
      <c r="G981" s="2">
        <f t="shared" si="75"/>
        <v>-0.39205630942833625</v>
      </c>
    </row>
    <row r="982" spans="1:7" x14ac:dyDescent="0.25">
      <c r="A982" s="18">
        <v>19.579999999999998</v>
      </c>
      <c r="B982" s="2">
        <v>-7.3000000000000001E-3</v>
      </c>
      <c r="C982" s="2">
        <f t="shared" si="76"/>
        <v>1.46</v>
      </c>
      <c r="D982" s="2">
        <f t="shared" si="77"/>
        <v>1.5063280529266395E-2</v>
      </c>
      <c r="E982" s="2">
        <f t="shared" si="79"/>
        <v>3.5272318468996047E-2</v>
      </c>
      <c r="F982" s="2">
        <f t="shared" si="78"/>
        <v>-0.44459841587798743</v>
      </c>
      <c r="G982" s="2">
        <f t="shared" si="75"/>
        <v>-0.44459841587798743</v>
      </c>
    </row>
    <row r="983" spans="1:7" x14ac:dyDescent="0.25">
      <c r="A983" s="18">
        <v>19.600000000000001</v>
      </c>
      <c r="B983" s="2">
        <v>7.62E-3</v>
      </c>
      <c r="C983" s="2">
        <f t="shared" si="76"/>
        <v>-1.524</v>
      </c>
      <c r="D983" s="2">
        <f t="shared" si="77"/>
        <v>1.6139511377903707E-2</v>
      </c>
      <c r="E983" s="2">
        <f t="shared" si="79"/>
        <v>3.1351755374712686E-2</v>
      </c>
      <c r="F983" s="2">
        <f t="shared" si="78"/>
        <v>-0.49180534133711445</v>
      </c>
      <c r="G983" s="2">
        <f t="shared" si="75"/>
        <v>-0.49180534133711445</v>
      </c>
    </row>
    <row r="984" spans="1:7" x14ac:dyDescent="0.25">
      <c r="A984" s="18">
        <v>19.62</v>
      </c>
      <c r="B984" s="2">
        <v>2.2540000000000001E-2</v>
      </c>
      <c r="C984" s="2">
        <f t="shared" si="76"/>
        <v>-4.508</v>
      </c>
      <c r="D984" s="2">
        <f t="shared" si="77"/>
        <v>1.7019020090006175E-2</v>
      </c>
      <c r="E984" s="2">
        <f t="shared" si="79"/>
        <v>2.6905771215932808E-2</v>
      </c>
      <c r="F984" s="2">
        <f t="shared" si="78"/>
        <v>-0.53311060270019339</v>
      </c>
      <c r="G984" s="2">
        <f t="shared" si="75"/>
        <v>-0.53311060270019339</v>
      </c>
    </row>
    <row r="985" spans="1:7" x14ac:dyDescent="0.25">
      <c r="A985" s="18">
        <v>19.64</v>
      </c>
      <c r="B985" s="2">
        <v>3.7470000000000003E-2</v>
      </c>
      <c r="C985" s="2">
        <f t="shared" si="76"/>
        <v>-7.4940000000000007</v>
      </c>
      <c r="D985" s="2">
        <f t="shared" si="77"/>
        <v>1.7685284561028566E-2</v>
      </c>
      <c r="E985" s="2">
        <f t="shared" si="79"/>
        <v>2.1987717802561708E-2</v>
      </c>
      <c r="F985" s="2">
        <f t="shared" si="78"/>
        <v>-0.56802853683085053</v>
      </c>
      <c r="G985" s="2">
        <f t="shared" si="75"/>
        <v>-0.56802853683085053</v>
      </c>
    </row>
    <row r="986" spans="1:7" x14ac:dyDescent="0.25">
      <c r="A986" s="18">
        <v>19.66</v>
      </c>
      <c r="B986" s="2">
        <v>4.0009999999999997E-2</v>
      </c>
      <c r="C986" s="2">
        <f t="shared" si="76"/>
        <v>-8.0019999999999989</v>
      </c>
      <c r="D986" s="2">
        <f t="shared" si="77"/>
        <v>1.8124337617318617E-2</v>
      </c>
      <c r="E986" s="2">
        <f t="shared" si="79"/>
        <v>1.6656611775559774E-2</v>
      </c>
      <c r="F986" s="2">
        <f t="shared" si="78"/>
        <v>-0.58374012851955537</v>
      </c>
      <c r="G986" s="2">
        <f t="shared" si="75"/>
        <v>-0.58374012851955537</v>
      </c>
    </row>
    <row r="987" spans="1:7" x14ac:dyDescent="0.25">
      <c r="A987" s="18">
        <v>19.68</v>
      </c>
      <c r="B987" s="2">
        <v>4.2560000000000001E-2</v>
      </c>
      <c r="C987" s="2">
        <f t="shared" si="76"/>
        <v>-8.5120000000000005</v>
      </c>
      <c r="D987" s="2">
        <f t="shared" si="77"/>
        <v>1.8329894622200846E-2</v>
      </c>
      <c r="E987" s="2">
        <f t="shared" si="79"/>
        <v>1.0976326407251269E-2</v>
      </c>
      <c r="F987" s="2">
        <f t="shared" si="78"/>
        <v>-0.59245683866602539</v>
      </c>
      <c r="G987" s="2">
        <f t="shared" si="75"/>
        <v>-0.59245683866602539</v>
      </c>
    </row>
    <row r="988" spans="1:7" x14ac:dyDescent="0.25">
      <c r="A988" s="18">
        <v>19.7</v>
      </c>
      <c r="B988" s="2">
        <v>4.5069999999999999E-2</v>
      </c>
      <c r="C988" s="2">
        <f t="shared" si="76"/>
        <v>-9.0139999999999993</v>
      </c>
      <c r="D988" s="2">
        <f t="shared" si="77"/>
        <v>1.8298468891616664E-2</v>
      </c>
      <c r="E988" s="2">
        <f t="shared" si="79"/>
        <v>5.1389251220557153E-3</v>
      </c>
      <c r="F988" s="2">
        <f t="shared" si="78"/>
        <v>-0.59402406674850106</v>
      </c>
      <c r="G988" s="2">
        <f t="shared" si="75"/>
        <v>-0.59402406674850106</v>
      </c>
    </row>
    <row r="989" spans="1:7" x14ac:dyDescent="0.25">
      <c r="A989" s="18">
        <v>19.72</v>
      </c>
      <c r="B989" s="2">
        <v>4.759E-2</v>
      </c>
      <c r="C989" s="2">
        <f t="shared" si="76"/>
        <v>-9.5180000000000007</v>
      </c>
      <c r="D989" s="2">
        <f t="shared" si="77"/>
        <v>1.8029433534333082E-2</v>
      </c>
      <c r="E989" s="2">
        <f t="shared" si="79"/>
        <v>-7.8564326460453873E-4</v>
      </c>
      <c r="F989" s="2">
        <f t="shared" si="78"/>
        <v>-0.58847300602999841</v>
      </c>
      <c r="G989" s="2">
        <f t="shared" si="75"/>
        <v>-0.58847300602999841</v>
      </c>
    </row>
    <row r="990" spans="1:7" x14ac:dyDescent="0.25">
      <c r="A990" s="18">
        <v>19.739999999999998</v>
      </c>
      <c r="B990" s="2">
        <v>5.0099999999999999E-2</v>
      </c>
      <c r="C990" s="2">
        <f t="shared" si="76"/>
        <v>-10.02</v>
      </c>
      <c r="D990" s="2">
        <f t="shared" si="77"/>
        <v>1.7525008974637501E-2</v>
      </c>
      <c r="E990" s="2">
        <f t="shared" si="79"/>
        <v>-6.7258839320895498E-3</v>
      </c>
      <c r="F990" s="2">
        <f t="shared" si="78"/>
        <v>-0.57585026923912508</v>
      </c>
      <c r="G990" s="2">
        <f t="shared" si="75"/>
        <v>-0.57585026923912508</v>
      </c>
    </row>
    <row r="991" spans="1:7" x14ac:dyDescent="0.25">
      <c r="A991" s="18">
        <v>19.760000000000002</v>
      </c>
      <c r="B991" s="2">
        <v>4.5449999999999997E-2</v>
      </c>
      <c r="C991" s="2">
        <f t="shared" si="76"/>
        <v>-9.09</v>
      </c>
      <c r="D991" s="2">
        <f t="shared" si="77"/>
        <v>1.6790244307246269E-2</v>
      </c>
      <c r="E991" s="2">
        <f t="shared" si="79"/>
        <v>-1.2610613992389535E-2</v>
      </c>
      <c r="F991" s="2">
        <f t="shared" si="78"/>
        <v>-0.5491573292173979</v>
      </c>
      <c r="G991" s="2">
        <f t="shared" si="75"/>
        <v>-0.5491573292173979</v>
      </c>
    </row>
    <row r="992" spans="1:7" x14ac:dyDescent="0.25">
      <c r="A992" s="18">
        <v>19.78</v>
      </c>
      <c r="B992" s="2">
        <v>4.0800000000000003E-2</v>
      </c>
      <c r="C992" s="2">
        <f t="shared" si="76"/>
        <v>-8.16</v>
      </c>
      <c r="D992" s="2">
        <f t="shared" si="77"/>
        <v>1.5835816708168079E-2</v>
      </c>
      <c r="E992" s="2">
        <f t="shared" si="79"/>
        <v>-1.8369116684780785E-2</v>
      </c>
      <c r="F992" s="2">
        <f t="shared" si="78"/>
        <v>-0.51587450124504586</v>
      </c>
      <c r="G992" s="2">
        <f t="shared" si="75"/>
        <v>-0.51587450124504586</v>
      </c>
    </row>
    <row r="993" spans="1:7" x14ac:dyDescent="0.25">
      <c r="A993" s="18">
        <v>19.8</v>
      </c>
      <c r="B993" s="2">
        <v>2.8760000000000001E-2</v>
      </c>
      <c r="C993" s="2">
        <f t="shared" si="76"/>
        <v>-5.7519999999999998</v>
      </c>
      <c r="D993" s="2">
        <f t="shared" si="77"/>
        <v>1.467503930859187E-2</v>
      </c>
      <c r="E993" s="2">
        <f t="shared" si="79"/>
        <v>-2.3860689976954765E-2</v>
      </c>
      <c r="F993" s="2">
        <f t="shared" si="78"/>
        <v>-0.46901117925776148</v>
      </c>
      <c r="G993" s="2">
        <f t="shared" si="75"/>
        <v>-0.46901117925776148</v>
      </c>
    </row>
    <row r="994" spans="1:7" x14ac:dyDescent="0.25">
      <c r="A994" s="18">
        <v>19.82</v>
      </c>
      <c r="B994" s="2">
        <v>1.6709999999999999E-2</v>
      </c>
      <c r="C994" s="2">
        <f t="shared" si="76"/>
        <v>-3.3419999999999996</v>
      </c>
      <c r="D994" s="2">
        <f t="shared" si="77"/>
        <v>1.3326657437312556E-2</v>
      </c>
      <c r="E994" s="2">
        <f t="shared" si="79"/>
        <v>-2.9019434989405221E-2</v>
      </c>
      <c r="F994" s="2">
        <f t="shared" si="78"/>
        <v>-0.41650972311937839</v>
      </c>
      <c r="G994" s="2">
        <f t="shared" si="75"/>
        <v>-0.41650972311937839</v>
      </c>
    </row>
    <row r="995" spans="1:7" x14ac:dyDescent="0.25">
      <c r="A995" s="18">
        <v>19.84</v>
      </c>
      <c r="B995" s="2">
        <v>4.6699999999999997E-3</v>
      </c>
      <c r="C995" s="2">
        <f t="shared" si="76"/>
        <v>-0.93399999999999994</v>
      </c>
      <c r="D995" s="2">
        <f t="shared" si="77"/>
        <v>1.1811671676785492E-2</v>
      </c>
      <c r="E995" s="2">
        <f t="shared" si="79"/>
        <v>-3.370954678198284E-2</v>
      </c>
      <c r="F995" s="2">
        <f t="shared" si="78"/>
        <v>-0.35902015030356282</v>
      </c>
      <c r="G995" s="2">
        <f t="shared" si="75"/>
        <v>-0.35902015030356282</v>
      </c>
    </row>
    <row r="996" spans="1:7" x14ac:dyDescent="0.25">
      <c r="A996" s="18">
        <v>19.86</v>
      </c>
      <c r="B996" s="2">
        <v>-7.3800000000000003E-3</v>
      </c>
      <c r="C996" s="2">
        <f t="shared" si="76"/>
        <v>1.476</v>
      </c>
      <c r="D996" s="2">
        <f t="shared" si="77"/>
        <v>1.0153077856137002E-2</v>
      </c>
      <c r="E996" s="2">
        <f t="shared" si="79"/>
        <v>-3.7874644013176618E-2</v>
      </c>
      <c r="F996" s="2">
        <f t="shared" si="78"/>
        <v>-0.29721233568411487</v>
      </c>
      <c r="G996" s="2">
        <f t="shared" si="75"/>
        <v>-0.29721233568411487</v>
      </c>
    </row>
    <row r="997" spans="1:7" x14ac:dyDescent="0.25">
      <c r="A997" s="18">
        <v>19.88</v>
      </c>
      <c r="B997" s="2">
        <v>-1.16E-3</v>
      </c>
      <c r="C997" s="2">
        <f t="shared" si="76"/>
        <v>0.23200000000000001</v>
      </c>
      <c r="D997" s="2">
        <f t="shared" si="77"/>
        <v>8.3755991012148655E-3</v>
      </c>
      <c r="E997" s="2">
        <f t="shared" si="79"/>
        <v>-4.1464845516212247E-2</v>
      </c>
      <c r="F997" s="2">
        <f t="shared" si="78"/>
        <v>-0.25010797303644333</v>
      </c>
      <c r="G997" s="2">
        <f t="shared" si="75"/>
        <v>-0.25010797303644333</v>
      </c>
    </row>
    <row r="998" spans="1:7" x14ac:dyDescent="0.25">
      <c r="A998" s="18">
        <v>19.899999999999999</v>
      </c>
      <c r="B998" s="2">
        <v>5.0600000000000003E-3</v>
      </c>
      <c r="C998" s="2">
        <f t="shared" si="76"/>
        <v>-1.012</v>
      </c>
      <c r="D998" s="2">
        <f t="shared" si="77"/>
        <v>6.4980771570781522E-3</v>
      </c>
      <c r="E998" s="2">
        <f t="shared" si="79"/>
        <v>-4.4436968873053401E-2</v>
      </c>
      <c r="F998" s="2">
        <f t="shared" si="78"/>
        <v>-0.20000231471234592</v>
      </c>
      <c r="G998" s="2">
        <f t="shared" si="75"/>
        <v>-0.20000231471234592</v>
      </c>
    </row>
    <row r="999" spans="1:7" x14ac:dyDescent="0.25">
      <c r="A999" s="18">
        <v>19.920000000000002</v>
      </c>
      <c r="B999" s="2">
        <v>1.128E-2</v>
      </c>
      <c r="C999" s="2">
        <f t="shared" si="76"/>
        <v>-2.2560000000000002</v>
      </c>
      <c r="D999" s="2">
        <f t="shared" si="77"/>
        <v>4.5405542870565006E-3</v>
      </c>
      <c r="E999" s="2">
        <f t="shared" si="79"/>
        <v>-4.6938048603417833E-2</v>
      </c>
      <c r="F999" s="2">
        <f t="shared" si="78"/>
        <v>-0.14749662861169915</v>
      </c>
      <c r="G999" s="2">
        <f t="shared" si="75"/>
        <v>-0.14749662861169915</v>
      </c>
    </row>
    <row r="1000" spans="1:7" x14ac:dyDescent="0.25">
      <c r="A1000" s="18">
        <v>19.940000000000001</v>
      </c>
      <c r="B1000" s="2">
        <v>1.7500000000000002E-2</v>
      </c>
      <c r="C1000" s="2">
        <f t="shared" si="76"/>
        <v>-3.5000000000000004</v>
      </c>
      <c r="D1000" s="2">
        <f t="shared" si="77"/>
        <v>2.5240327655901692E-3</v>
      </c>
      <c r="E1000" s="2">
        <f t="shared" si="79"/>
        <v>-4.8938071750541288E-2</v>
      </c>
      <c r="F1000" s="2">
        <f t="shared" si="78"/>
        <v>-9.322098296770466E-2</v>
      </c>
      <c r="G1000" s="2">
        <f t="shared" si="75"/>
        <v>-9.322098296770466E-2</v>
      </c>
    </row>
    <row r="1001" spans="1:7" x14ac:dyDescent="0.25">
      <c r="A1001" s="18">
        <v>19.96</v>
      </c>
      <c r="B1001" s="2">
        <v>-2.1099999999999999E-3</v>
      </c>
      <c r="C1001" s="2">
        <f t="shared" si="76"/>
        <v>0.42199999999999999</v>
      </c>
      <c r="D1001" s="2">
        <f t="shared" si="77"/>
        <v>4.7022285093675602E-4</v>
      </c>
      <c r="E1001" s="2">
        <f t="shared" si="79"/>
        <v>-5.0413038036658281E-2</v>
      </c>
      <c r="F1001" s="2">
        <f t="shared" si="78"/>
        <v>-1.1996685528102395E-2</v>
      </c>
      <c r="G1001" s="2">
        <f t="shared" si="75"/>
        <v>-1.1996685528102395E-2</v>
      </c>
    </row>
    <row r="1002" spans="1:7" x14ac:dyDescent="0.25">
      <c r="A1002" s="18">
        <v>19.98</v>
      </c>
      <c r="B1002" s="2">
        <v>-2.1729999999999999E-2</v>
      </c>
      <c r="C1002" s="2">
        <f t="shared" si="76"/>
        <v>4.3460000000000001</v>
      </c>
      <c r="D1002" s="2">
        <f t="shared" si="77"/>
        <v>-1.5883857379278981E-3</v>
      </c>
      <c r="E1002" s="2">
        <f t="shared" si="79"/>
        <v>-5.1345247866335327E-2</v>
      </c>
      <c r="F1002" s="2">
        <f t="shared" si="78"/>
        <v>6.9381572137837189E-2</v>
      </c>
      <c r="G1002" s="2">
        <f t="shared" si="75"/>
        <v>6.9381572137837189E-2</v>
      </c>
    </row>
    <row r="1003" spans="1:7" x14ac:dyDescent="0.25">
      <c r="A1003" s="18">
        <v>20</v>
      </c>
      <c r="B1003" s="2">
        <v>-4.1349999999999998E-2</v>
      </c>
      <c r="C1003" s="2">
        <f t="shared" si="76"/>
        <v>8.27</v>
      </c>
      <c r="D1003" s="2">
        <f t="shared" si="77"/>
        <v>-3.6192416979374175E-3</v>
      </c>
      <c r="E1003" s="2">
        <f t="shared" si="79"/>
        <v>-5.1465214721616352E-2</v>
      </c>
      <c r="F1003" s="2">
        <f t="shared" si="78"/>
        <v>0.14992725093812162</v>
      </c>
      <c r="G1003" s="2">
        <f t="shared" si="75"/>
        <v>0.14992725093812162</v>
      </c>
    </row>
    <row r="1004" spans="1:7" x14ac:dyDescent="0.25">
      <c r="A1004" s="18">
        <v>20.02</v>
      </c>
      <c r="B1004" s="2">
        <v>-6.096E-2</v>
      </c>
      <c r="C1004" s="2">
        <f t="shared" si="76"/>
        <v>12.192</v>
      </c>
      <c r="D1004" s="2">
        <f t="shared" si="77"/>
        <v>-5.5901267575716885E-3</v>
      </c>
      <c r="E1004" s="2">
        <f t="shared" si="79"/>
        <v>-5.0771399000237992E-2</v>
      </c>
      <c r="F1004" s="2">
        <f t="shared" si="78"/>
        <v>0.22866380272715084</v>
      </c>
      <c r="G1004" s="2">
        <f t="shared" si="75"/>
        <v>0.22866380272715084</v>
      </c>
    </row>
    <row r="1005" spans="1:7" x14ac:dyDescent="0.25">
      <c r="A1005" s="18">
        <v>20.04</v>
      </c>
      <c r="B1005" s="2">
        <v>-8.0579999999999999E-2</v>
      </c>
      <c r="C1005" s="2">
        <f t="shared" si="76"/>
        <v>16.116</v>
      </c>
      <c r="D1005" s="2">
        <f t="shared" si="77"/>
        <v>-7.4695462961150991E-3</v>
      </c>
      <c r="E1005" s="2">
        <f t="shared" si="79"/>
        <v>-4.9272126490856771E-2</v>
      </c>
      <c r="F1005" s="2">
        <f t="shared" si="78"/>
        <v>0.30466638888345265</v>
      </c>
      <c r="G1005" s="2">
        <f t="shared" si="75"/>
        <v>0.30466638888345265</v>
      </c>
    </row>
    <row r="1006" spans="1:7" x14ac:dyDescent="0.25">
      <c r="A1006" s="18">
        <v>20.059999999999999</v>
      </c>
      <c r="B1006" s="2">
        <v>-6.9949999999999998E-2</v>
      </c>
      <c r="C1006" s="2">
        <f t="shared" si="76"/>
        <v>13.99</v>
      </c>
      <c r="D1006" s="2">
        <f t="shared" si="77"/>
        <v>-9.2270992791051287E-3</v>
      </c>
      <c r="E1006" s="2">
        <f t="shared" si="79"/>
        <v>-4.6985488463585266E-2</v>
      </c>
      <c r="F1006" s="2">
        <f t="shared" si="78"/>
        <v>0.34676297837315551</v>
      </c>
      <c r="G1006" s="2">
        <f t="shared" si="75"/>
        <v>0.34676297837315551</v>
      </c>
    </row>
    <row r="1007" spans="1:7" x14ac:dyDescent="0.25">
      <c r="A1007" s="18">
        <v>20.079999999999998</v>
      </c>
      <c r="B1007" s="2">
        <v>-5.9310000000000002E-2</v>
      </c>
      <c r="C1007" s="2">
        <f t="shared" si="76"/>
        <v>11.862</v>
      </c>
      <c r="D1007" s="2">
        <f t="shared" si="77"/>
        <v>-1.0845947070745897E-2</v>
      </c>
      <c r="E1007" s="2">
        <f t="shared" si="79"/>
        <v>-4.3938824574750734E-2</v>
      </c>
      <c r="F1007" s="2">
        <f t="shared" si="78"/>
        <v>0.38468841212236854</v>
      </c>
      <c r="G1007" s="2">
        <f t="shared" si="75"/>
        <v>0.38468841212236854</v>
      </c>
    </row>
    <row r="1008" spans="1:7" x14ac:dyDescent="0.25">
      <c r="A1008" s="18">
        <v>20.100000000000001</v>
      </c>
      <c r="B1008" s="2">
        <v>-4.8680000000000001E-2</v>
      </c>
      <c r="C1008" s="2">
        <f t="shared" si="76"/>
        <v>9.7360000000000007</v>
      </c>
      <c r="D1008" s="2">
        <f t="shared" si="77"/>
        <v>-1.2310919497537718E-2</v>
      </c>
      <c r="E1008" s="2">
        <f t="shared" si="79"/>
        <v>-4.0471194791019204E-2</v>
      </c>
      <c r="F1008" s="2">
        <f t="shared" si="78"/>
        <v>0.41800758492613593</v>
      </c>
      <c r="G1008" s="2">
        <f t="shared" si="75"/>
        <v>0.41800758492613593</v>
      </c>
    </row>
    <row r="1009" spans="1:7" x14ac:dyDescent="0.25">
      <c r="A1009" s="18">
        <v>20.12</v>
      </c>
      <c r="B1009" s="2">
        <v>-3.805E-2</v>
      </c>
      <c r="C1009" s="2">
        <f t="shared" si="76"/>
        <v>7.61</v>
      </c>
      <c r="D1009" s="2">
        <f t="shared" si="77"/>
        <v>-1.3608688890359084E-2</v>
      </c>
      <c r="E1009" s="2">
        <f t="shared" si="79"/>
        <v>-3.6624310669795518E-2</v>
      </c>
      <c r="F1009" s="2">
        <f t="shared" si="78"/>
        <v>0.44631066671077779</v>
      </c>
      <c r="G1009" s="2">
        <f t="shared" si="75"/>
        <v>0.44631066671077779</v>
      </c>
    </row>
    <row r="1010" spans="1:7" x14ac:dyDescent="0.25">
      <c r="A1010" s="18">
        <v>20.14</v>
      </c>
      <c r="B1010" s="2">
        <v>-2.5569999999999999E-2</v>
      </c>
      <c r="C1010" s="2">
        <f t="shared" si="76"/>
        <v>5.1139999999999999</v>
      </c>
      <c r="D1010" s="2">
        <f t="shared" si="77"/>
        <v>-1.4727934016496139E-2</v>
      </c>
      <c r="E1010" s="2">
        <f t="shared" si="79"/>
        <v>-3.2444234820534157E-2</v>
      </c>
      <c r="F1010" s="2">
        <f t="shared" si="78"/>
        <v>0.46740802049488428</v>
      </c>
      <c r="G1010" s="2">
        <f t="shared" si="75"/>
        <v>0.46740802049488428</v>
      </c>
    </row>
    <row r="1011" spans="1:7" x14ac:dyDescent="0.25">
      <c r="A1011" s="18">
        <v>20.16</v>
      </c>
      <c r="B1011" s="2">
        <v>-1.3100000000000001E-2</v>
      </c>
      <c r="C1011" s="2">
        <f t="shared" si="76"/>
        <v>2.62</v>
      </c>
      <c r="D1011" s="2">
        <f t="shared" si="77"/>
        <v>-1.5660215934435239E-2</v>
      </c>
      <c r="E1011" s="2">
        <f t="shared" si="79"/>
        <v>-2.798112815342638E-2</v>
      </c>
      <c r="F1011" s="2">
        <f t="shared" si="78"/>
        <v>0.48290647803306097</v>
      </c>
      <c r="G1011" s="2">
        <f t="shared" si="75"/>
        <v>0.48290647803306097</v>
      </c>
    </row>
    <row r="1012" spans="1:7" x14ac:dyDescent="0.25">
      <c r="A1012" s="18">
        <v>20.18</v>
      </c>
      <c r="B1012" s="2">
        <v>-6.3000000000000003E-4</v>
      </c>
      <c r="C1012" s="2">
        <f t="shared" si="76"/>
        <v>0.126</v>
      </c>
      <c r="D1012" s="2">
        <f t="shared" si="77"/>
        <v>-1.6399335261161115E-2</v>
      </c>
      <c r="E1012" s="2">
        <f t="shared" si="79"/>
        <v>-2.3307047948477495E-2</v>
      </c>
      <c r="F1012" s="2">
        <f t="shared" si="78"/>
        <v>0.49261005783482292</v>
      </c>
      <c r="G1012" s="2">
        <f t="shared" si="75"/>
        <v>0.49261005783482292</v>
      </c>
    </row>
    <row r="1013" spans="1:7" x14ac:dyDescent="0.25">
      <c r="A1013" s="18">
        <v>20.2</v>
      </c>
      <c r="B1013" s="2">
        <v>1.1849999999999999E-2</v>
      </c>
      <c r="C1013" s="2">
        <f t="shared" si="76"/>
        <v>-2.37</v>
      </c>
      <c r="D1013" s="2">
        <f t="shared" si="77"/>
        <v>-1.6941410564753061E-2</v>
      </c>
      <c r="E1013" s="2">
        <f t="shared" si="79"/>
        <v>-1.8477983168146885E-2</v>
      </c>
      <c r="F1013" s="2">
        <f t="shared" si="78"/>
        <v>0.49639231694259023</v>
      </c>
      <c r="G1013" s="2">
        <f t="shared" si="75"/>
        <v>0.49639231694259023</v>
      </c>
    </row>
    <row r="1014" spans="1:7" x14ac:dyDescent="0.25">
      <c r="A1014" s="18">
        <v>20.22</v>
      </c>
      <c r="B1014" s="2">
        <v>2.4320000000000001E-2</v>
      </c>
      <c r="C1014" s="2">
        <f t="shared" si="76"/>
        <v>-4.8639999999999999</v>
      </c>
      <c r="D1014" s="2">
        <f t="shared" si="77"/>
        <v>-1.7284928941567971E-2</v>
      </c>
      <c r="E1014" s="2">
        <f t="shared" si="79"/>
        <v>-1.3551882589798656E-2</v>
      </c>
      <c r="F1014" s="2">
        <f t="shared" si="78"/>
        <v>0.49422786824703835</v>
      </c>
      <c r="G1014" s="2">
        <f t="shared" si="75"/>
        <v>0.49422786824703835</v>
      </c>
    </row>
    <row r="1015" spans="1:7" x14ac:dyDescent="0.25">
      <c r="A1015" s="18">
        <v>20.239999999999998</v>
      </c>
      <c r="B1015" s="2">
        <v>3.6799999999999999E-2</v>
      </c>
      <c r="C1015" s="2">
        <f t="shared" si="76"/>
        <v>-7.3599999999999994</v>
      </c>
      <c r="D1015" s="2">
        <f t="shared" si="77"/>
        <v>-1.7430756171084066E-2</v>
      </c>
      <c r="E1015" s="2">
        <f t="shared" si="79"/>
        <v>-8.5879594203727531E-3</v>
      </c>
      <c r="F1015" s="2">
        <f t="shared" si="78"/>
        <v>0.48612268513251522</v>
      </c>
      <c r="G1015" s="2">
        <f t="shared" si="75"/>
        <v>0.48612268513251522</v>
      </c>
    </row>
    <row r="1016" spans="1:7" x14ac:dyDescent="0.25">
      <c r="A1016" s="18">
        <v>20.260000000000002</v>
      </c>
      <c r="B1016" s="2">
        <v>4.9270000000000001E-2</v>
      </c>
      <c r="C1016" s="2">
        <f t="shared" si="76"/>
        <v>-9.854000000000001</v>
      </c>
      <c r="D1016" s="2">
        <f t="shared" si="77"/>
        <v>-1.7382134326547154E-2</v>
      </c>
      <c r="E1016" s="2">
        <f t="shared" si="79"/>
        <v>-3.6456807379023695E-3</v>
      </c>
      <c r="F1016" s="2">
        <f t="shared" si="78"/>
        <v>0.4721940297964296</v>
      </c>
      <c r="G1016" s="2">
        <f t="shared" si="75"/>
        <v>0.4721940297964296</v>
      </c>
    </row>
    <row r="1017" spans="1:7" x14ac:dyDescent="0.25">
      <c r="A1017" s="18">
        <v>20.28</v>
      </c>
      <c r="B1017" s="2">
        <v>2.9739999999999999E-2</v>
      </c>
      <c r="C1017" s="2">
        <f t="shared" si="76"/>
        <v>-5.9479999999999995</v>
      </c>
      <c r="D1017" s="2">
        <f t="shared" si="77"/>
        <v>-1.7144634870091671E-2</v>
      </c>
      <c r="E1017" s="2">
        <f t="shared" si="79"/>
        <v>1.215546113422783E-3</v>
      </c>
      <c r="F1017" s="2">
        <f t="shared" si="78"/>
        <v>0.48459904610275401</v>
      </c>
      <c r="G1017" s="2">
        <f t="shared" si="75"/>
        <v>0.48459904610275401</v>
      </c>
    </row>
    <row r="1018" spans="1:7" x14ac:dyDescent="0.25">
      <c r="A1018" s="18">
        <v>20.3</v>
      </c>
      <c r="B1018" s="2">
        <v>1.021E-2</v>
      </c>
      <c r="C1018" s="2">
        <f t="shared" si="76"/>
        <v>-2.0420000000000003</v>
      </c>
      <c r="D1018" s="2">
        <f t="shared" si="77"/>
        <v>-1.6713295795195086E-2</v>
      </c>
      <c r="E1018" s="2">
        <f t="shared" si="79"/>
        <v>5.9374864113870794E-3</v>
      </c>
      <c r="F1018" s="2">
        <f t="shared" si="78"/>
        <v>0.49118887385585053</v>
      </c>
      <c r="G1018" s="2">
        <f t="shared" si="75"/>
        <v>0.49118887385585053</v>
      </c>
    </row>
    <row r="1019" spans="1:7" x14ac:dyDescent="0.25">
      <c r="A1019" s="18">
        <v>20.32</v>
      </c>
      <c r="B1019" s="2">
        <v>-9.3200000000000002E-3</v>
      </c>
      <c r="C1019" s="2">
        <f t="shared" si="76"/>
        <v>1.8640000000000001</v>
      </c>
      <c r="D1019" s="2">
        <f t="shared" si="77"/>
        <v>-1.6085481170756161E-2</v>
      </c>
      <c r="E1019" s="2">
        <f t="shared" si="79"/>
        <v>1.078347687241462E-2</v>
      </c>
      <c r="F1019" s="2">
        <f t="shared" si="78"/>
        <v>0.49188443512267632</v>
      </c>
      <c r="G1019" s="2">
        <f t="shared" si="75"/>
        <v>0.49188443512267632</v>
      </c>
    </row>
    <row r="1020" spans="1:7" x14ac:dyDescent="0.25">
      <c r="A1020" s="18">
        <v>20.34</v>
      </c>
      <c r="B1020" s="2">
        <v>-2.8840000000000001E-2</v>
      </c>
      <c r="C1020" s="2">
        <f t="shared" si="76"/>
        <v>5.7679999999999998</v>
      </c>
      <c r="D1020" s="2">
        <f t="shared" si="77"/>
        <v>-1.5260912772268166E-2</v>
      </c>
      <c r="E1020" s="2">
        <f t="shared" si="79"/>
        <v>1.5695365610973126E-2</v>
      </c>
      <c r="F1020" s="2">
        <f t="shared" si="78"/>
        <v>0.4866673831680412</v>
      </c>
      <c r="G1020" s="2">
        <f t="shared" si="75"/>
        <v>0.4866673831680412</v>
      </c>
    </row>
    <row r="1021" spans="1:7" x14ac:dyDescent="0.25">
      <c r="A1021" s="18">
        <v>20.36</v>
      </c>
      <c r="B1021" s="2">
        <v>-4.8370000000000003E-2</v>
      </c>
      <c r="C1021" s="2">
        <f t="shared" si="76"/>
        <v>9.6740000000000013</v>
      </c>
      <c r="D1021" s="2">
        <f t="shared" si="77"/>
        <v>-1.4241677420512954E-2</v>
      </c>
      <c r="E1021" s="2">
        <f t="shared" si="79"/>
        <v>2.0614209962199887E-2</v>
      </c>
      <c r="F1021" s="2">
        <f t="shared" si="78"/>
        <v>0.4756203226153905</v>
      </c>
      <c r="G1021" s="2">
        <f t="shared" si="75"/>
        <v>0.4756203226153905</v>
      </c>
    </row>
    <row r="1022" spans="1:7" x14ac:dyDescent="0.25">
      <c r="A1022" s="18">
        <v>20.38</v>
      </c>
      <c r="B1022" s="2">
        <v>-6.7900000000000002E-2</v>
      </c>
      <c r="C1022" s="2">
        <f t="shared" si="76"/>
        <v>13.58</v>
      </c>
      <c r="D1022" s="2">
        <f t="shared" si="77"/>
        <v>-1.3032193939711586E-2</v>
      </c>
      <c r="E1022" s="2">
        <f t="shared" si="79"/>
        <v>2.5480883793880301E-2</v>
      </c>
      <c r="F1022" s="2">
        <f t="shared" si="78"/>
        <v>0.45886581819135158</v>
      </c>
      <c r="G1022" s="2">
        <f t="shared" si="75"/>
        <v>0.45886581819135158</v>
      </c>
    </row>
    <row r="1023" spans="1:7" x14ac:dyDescent="0.25">
      <c r="A1023" s="18">
        <v>20.399999999999999</v>
      </c>
      <c r="B1023" s="2">
        <v>-4.8619999999999997E-2</v>
      </c>
      <c r="C1023" s="2">
        <f t="shared" si="76"/>
        <v>9.7240000000000002</v>
      </c>
      <c r="D1023" s="2">
        <f t="shared" si="77"/>
        <v>-1.1639164131633677E-2</v>
      </c>
      <c r="E1023" s="2">
        <f t="shared" si="79"/>
        <v>3.0237087020034206E-2</v>
      </c>
      <c r="F1023" s="2">
        <f t="shared" si="78"/>
        <v>0.39779492394901095</v>
      </c>
      <c r="G1023" s="2">
        <f t="shared" si="75"/>
        <v>0.39779492394901095</v>
      </c>
    </row>
    <row r="1024" spans="1:7" x14ac:dyDescent="0.25">
      <c r="A1024" s="18">
        <v>20.420000000000002</v>
      </c>
      <c r="B1024" s="2">
        <v>-2.9340000000000001E-2</v>
      </c>
      <c r="C1024" s="2">
        <f t="shared" si="76"/>
        <v>5.8680000000000003</v>
      </c>
      <c r="D1024" s="2">
        <f t="shared" si="77"/>
        <v>-1.0087016353976163E-2</v>
      </c>
      <c r="E1024" s="2">
        <f t="shared" si="79"/>
        <v>3.4825745201947721E-2</v>
      </c>
      <c r="F1024" s="2">
        <f t="shared" si="78"/>
        <v>0.33195049061928317</v>
      </c>
      <c r="G1024" s="2">
        <f t="shared" si="75"/>
        <v>0.33195049061928317</v>
      </c>
    </row>
    <row r="1025" spans="1:7" x14ac:dyDescent="0.25">
      <c r="A1025" s="18">
        <v>20.440000000000001</v>
      </c>
      <c r="B1025" s="2">
        <v>-1.0059999999999999E-2</v>
      </c>
      <c r="C1025" s="2">
        <f t="shared" si="76"/>
        <v>2.012</v>
      </c>
      <c r="D1025" s="2">
        <f t="shared" si="77"/>
        <v>-8.4020883800709368E-3</v>
      </c>
      <c r="E1025" s="2">
        <f t="shared" si="79"/>
        <v>3.880369444143783E-2</v>
      </c>
      <c r="F1025" s="2">
        <f t="shared" si="78"/>
        <v>0.26212265140212587</v>
      </c>
      <c r="G1025" s="2">
        <f t="shared" si="75"/>
        <v>0.26212265140212587</v>
      </c>
    </row>
    <row r="1026" spans="1:7" x14ac:dyDescent="0.25">
      <c r="A1026" s="18">
        <v>20.46</v>
      </c>
      <c r="B1026" s="2">
        <v>9.2200000000000008E-3</v>
      </c>
      <c r="C1026" s="2">
        <f t="shared" si="76"/>
        <v>-1.8440000000000001</v>
      </c>
      <c r="D1026" s="2">
        <f t="shared" si="77"/>
        <v>-6.6123113456048599E-3</v>
      </c>
      <c r="E1026" s="2">
        <f t="shared" si="79"/>
        <v>4.212319934763066E-2</v>
      </c>
      <c r="F1026" s="2">
        <f t="shared" si="78"/>
        <v>0.18914934036814554</v>
      </c>
      <c r="G1026" s="2">
        <f t="shared" ref="G1026:G1089" si="80">HLOOKUP($Y$3,$B$1:$F$1562,ROW(),0)</f>
        <v>0.18914934036814554</v>
      </c>
    </row>
    <row r="1027" spans="1:7" x14ac:dyDescent="0.25">
      <c r="A1027" s="18">
        <v>20.48</v>
      </c>
      <c r="B1027" s="2">
        <v>2.8510000000000001E-2</v>
      </c>
      <c r="C1027" s="2">
        <f t="shared" ref="C1027:C1090" si="81">-$M$4*B1027</f>
        <v>-5.702</v>
      </c>
      <c r="D1027" s="2">
        <f t="shared" si="77"/>
        <v>-4.7468745749915248E-3</v>
      </c>
      <c r="E1027" s="2">
        <f t="shared" si="79"/>
        <v>4.4744425861651921E-2</v>
      </c>
      <c r="F1027" s="2">
        <f t="shared" si="78"/>
        <v>0.11389623724974333</v>
      </c>
      <c r="G1027" s="2">
        <f t="shared" si="80"/>
        <v>0.11389623724974333</v>
      </c>
    </row>
    <row r="1028" spans="1:7" x14ac:dyDescent="0.25">
      <c r="A1028" s="18">
        <v>20.5</v>
      </c>
      <c r="B1028" s="2">
        <v>4.7789999999999999E-2</v>
      </c>
      <c r="C1028" s="2">
        <f t="shared" si="81"/>
        <v>-9.5579999999999998</v>
      </c>
      <c r="D1028" s="2">
        <f t="shared" ref="D1028:D1091" si="82">(C1027-($Q$6*D1027)-($Q$7*D1026))/$Q$5</f>
        <v>-2.8358793094782923E-3</v>
      </c>
      <c r="E1028" s="2">
        <f t="shared" si="79"/>
        <v>4.6635919265333378E-2</v>
      </c>
      <c r="F1028" s="2">
        <f t="shared" ref="F1028:F1091" si="83">(D1027-2*D1028+D1029)/($A$4^2)</f>
        <v>3.7286379284349733E-2</v>
      </c>
      <c r="G1028" s="2">
        <f t="shared" si="80"/>
        <v>3.7286379284349733E-2</v>
      </c>
    </row>
    <row r="1029" spans="1:7" x14ac:dyDescent="0.25">
      <c r="A1029" s="18">
        <v>20.52</v>
      </c>
      <c r="B1029" s="2">
        <v>2.4559999999999998E-2</v>
      </c>
      <c r="C1029" s="2">
        <f t="shared" si="81"/>
        <v>-4.9119999999999999</v>
      </c>
      <c r="D1029" s="2">
        <f t="shared" si="82"/>
        <v>-9.0996949225131995E-4</v>
      </c>
      <c r="E1029" s="2">
        <f t="shared" ref="E1029:E1092" si="84">(D1028-D1027)/(2*$A$4)</f>
        <v>4.7774881637830807E-2</v>
      </c>
      <c r="F1029" s="2">
        <f t="shared" si="83"/>
        <v>2.7390847675396422E-3</v>
      </c>
      <c r="G1029" s="2">
        <f t="shared" si="80"/>
        <v>2.7390847675396422E-3</v>
      </c>
    </row>
    <row r="1030" spans="1:7" x14ac:dyDescent="0.25">
      <c r="A1030" s="18">
        <v>20.54</v>
      </c>
      <c r="B1030" s="2">
        <v>1.33E-3</v>
      </c>
      <c r="C1030" s="2">
        <f t="shared" si="81"/>
        <v>-0.26600000000000001</v>
      </c>
      <c r="D1030" s="2">
        <f t="shared" si="82"/>
        <v>1.0170359588826683E-3</v>
      </c>
      <c r="E1030" s="2">
        <f t="shared" si="84"/>
        <v>4.8147745430674307E-2</v>
      </c>
      <c r="F1030" s="2">
        <f t="shared" si="83"/>
        <v>-3.1841078766479784E-2</v>
      </c>
      <c r="G1030" s="2">
        <f t="shared" si="80"/>
        <v>-3.1841078766479784E-2</v>
      </c>
    </row>
    <row r="1031" spans="1:7" x14ac:dyDescent="0.25">
      <c r="A1031" s="18">
        <v>20.56</v>
      </c>
      <c r="B1031" s="2">
        <v>-2.1899999999999999E-2</v>
      </c>
      <c r="C1031" s="2">
        <f t="shared" si="81"/>
        <v>4.38</v>
      </c>
      <c r="D1031" s="2">
        <f t="shared" si="82"/>
        <v>2.9313049785100647E-3</v>
      </c>
      <c r="E1031" s="2">
        <f t="shared" si="84"/>
        <v>4.8175136278349705E-2</v>
      </c>
      <c r="F1031" s="2">
        <f t="shared" si="83"/>
        <v>-6.6039149355303237E-2</v>
      </c>
      <c r="G1031" s="2">
        <f t="shared" si="80"/>
        <v>-6.6039149355303237E-2</v>
      </c>
    </row>
    <row r="1032" spans="1:7" x14ac:dyDescent="0.25">
      <c r="A1032" s="18">
        <v>20.58</v>
      </c>
      <c r="B1032" s="2">
        <v>-4.5130000000000003E-2</v>
      </c>
      <c r="C1032" s="2">
        <f t="shared" si="81"/>
        <v>9.0259999999999998</v>
      </c>
      <c r="D1032" s="2">
        <f t="shared" si="82"/>
        <v>4.81915833839534E-3</v>
      </c>
      <c r="E1032" s="2">
        <f t="shared" si="84"/>
        <v>4.7856725490684912E-2</v>
      </c>
      <c r="F1032" s="2">
        <f t="shared" si="83"/>
        <v>-9.9444750151860509E-2</v>
      </c>
      <c r="G1032" s="2">
        <f t="shared" si="80"/>
        <v>-9.9444750151860509E-2</v>
      </c>
    </row>
    <row r="1033" spans="1:7" x14ac:dyDescent="0.25">
      <c r="A1033" s="18">
        <v>20.6</v>
      </c>
      <c r="B1033" s="2">
        <v>-6.8360000000000004E-2</v>
      </c>
      <c r="C1033" s="2">
        <f t="shared" si="81"/>
        <v>13.672000000000001</v>
      </c>
      <c r="D1033" s="2">
        <f t="shared" si="82"/>
        <v>6.6672337982198711E-3</v>
      </c>
      <c r="E1033" s="2">
        <f t="shared" si="84"/>
        <v>4.7196333997131884E-2</v>
      </c>
      <c r="F1033" s="2">
        <f t="shared" si="83"/>
        <v>-0.13165701394660112</v>
      </c>
      <c r="G1033" s="2">
        <f t="shared" si="80"/>
        <v>-0.13165701394660112</v>
      </c>
    </row>
    <row r="1034" spans="1:7" x14ac:dyDescent="0.25">
      <c r="A1034" s="18">
        <v>20.62</v>
      </c>
      <c r="B1034" s="2">
        <v>-4.9779999999999998E-2</v>
      </c>
      <c r="C1034" s="2">
        <f t="shared" si="81"/>
        <v>9.9559999999999995</v>
      </c>
      <c r="D1034" s="2">
        <f t="shared" si="82"/>
        <v>8.4626464524657618E-3</v>
      </c>
      <c r="E1034" s="2">
        <f t="shared" si="84"/>
        <v>4.6201886495613277E-2</v>
      </c>
      <c r="F1034" s="2">
        <f t="shared" si="83"/>
        <v>-0.20409939357396867</v>
      </c>
      <c r="G1034" s="2">
        <f t="shared" si="80"/>
        <v>-0.20409939357396867</v>
      </c>
    </row>
    <row r="1035" spans="1:7" x14ac:dyDescent="0.25">
      <c r="A1035" s="18">
        <v>20.64</v>
      </c>
      <c r="B1035" s="2">
        <v>-3.1199999999999999E-2</v>
      </c>
      <c r="C1035" s="2">
        <f t="shared" si="81"/>
        <v>6.2399999999999993</v>
      </c>
      <c r="D1035" s="2">
        <f t="shared" si="82"/>
        <v>1.0176419349282066E-2</v>
      </c>
      <c r="E1035" s="2">
        <f t="shared" si="84"/>
        <v>4.4885316356147266E-2</v>
      </c>
      <c r="F1035" s="2">
        <f t="shared" si="83"/>
        <v>-0.27409258047846052</v>
      </c>
      <c r="G1035" s="2">
        <f t="shared" si="80"/>
        <v>-0.27409258047846052</v>
      </c>
    </row>
    <row r="1036" spans="1:7" x14ac:dyDescent="0.25">
      <c r="A1036" s="18">
        <v>20.66</v>
      </c>
      <c r="B1036" s="2">
        <v>-1.2619999999999999E-2</v>
      </c>
      <c r="C1036" s="2">
        <f t="shared" si="81"/>
        <v>2.524</v>
      </c>
      <c r="D1036" s="2">
        <f t="shared" si="82"/>
        <v>1.1780555213906986E-2</v>
      </c>
      <c r="E1036" s="2">
        <f t="shared" si="84"/>
        <v>4.2844322420407602E-2</v>
      </c>
      <c r="F1036" s="2">
        <f t="shared" si="83"/>
        <v>-0.34079665641721224</v>
      </c>
      <c r="G1036" s="2">
        <f t="shared" si="80"/>
        <v>-0.34079665641721224</v>
      </c>
    </row>
    <row r="1037" spans="1:7" x14ac:dyDescent="0.25">
      <c r="A1037" s="18">
        <v>20.68</v>
      </c>
      <c r="B1037" s="2">
        <v>5.96E-3</v>
      </c>
      <c r="C1037" s="2">
        <f t="shared" si="81"/>
        <v>-1.1919999999999999</v>
      </c>
      <c r="D1037" s="2">
        <f t="shared" si="82"/>
        <v>1.3248372415965021E-2</v>
      </c>
      <c r="E1037" s="2">
        <f t="shared" si="84"/>
        <v>4.0103396615622997E-2</v>
      </c>
      <c r="F1037" s="2">
        <f t="shared" si="83"/>
        <v>-0.40341117247894281</v>
      </c>
      <c r="G1037" s="2">
        <f t="shared" si="80"/>
        <v>-0.40341117247894281</v>
      </c>
    </row>
    <row r="1038" spans="1:7" x14ac:dyDescent="0.25">
      <c r="A1038" s="18">
        <v>20.7</v>
      </c>
      <c r="B1038" s="2">
        <v>2.453E-2</v>
      </c>
      <c r="C1038" s="2">
        <f t="shared" si="81"/>
        <v>-4.9059999999999997</v>
      </c>
      <c r="D1038" s="2">
        <f t="shared" si="82"/>
        <v>1.4554825149031479E-2</v>
      </c>
      <c r="E1038" s="2">
        <f t="shared" si="84"/>
        <v>3.6695430051450872E-2</v>
      </c>
      <c r="F1038" s="2">
        <f t="shared" si="83"/>
        <v>-0.46117475447094919</v>
      </c>
      <c r="G1038" s="2">
        <f t="shared" si="80"/>
        <v>-0.46117475447094919</v>
      </c>
    </row>
    <row r="1039" spans="1:7" x14ac:dyDescent="0.25">
      <c r="A1039" s="18">
        <v>20.72</v>
      </c>
      <c r="B1039" s="2">
        <v>4.3110000000000002E-2</v>
      </c>
      <c r="C1039" s="2">
        <f t="shared" si="81"/>
        <v>-8.6219999999999999</v>
      </c>
      <c r="D1039" s="2">
        <f t="shared" si="82"/>
        <v>1.5676807980309557E-2</v>
      </c>
      <c r="E1039" s="2">
        <f t="shared" si="84"/>
        <v>3.2661318326661443E-2</v>
      </c>
      <c r="F1039" s="2">
        <f t="shared" si="83"/>
        <v>-0.51341423940928255</v>
      </c>
      <c r="G1039" s="2">
        <f t="shared" si="80"/>
        <v>-0.51341423940928255</v>
      </c>
    </row>
    <row r="1040" spans="1:7" x14ac:dyDescent="0.25">
      <c r="A1040" s="18">
        <v>20.74</v>
      </c>
      <c r="B1040" s="2">
        <v>6.1690000000000002E-2</v>
      </c>
      <c r="C1040" s="2">
        <f t="shared" si="81"/>
        <v>-12.338000000000001</v>
      </c>
      <c r="D1040" s="2">
        <f t="shared" si="82"/>
        <v>1.6593425115823922E-2</v>
      </c>
      <c r="E1040" s="2">
        <f t="shared" si="84"/>
        <v>2.8049570781951954E-2</v>
      </c>
      <c r="F1040" s="2">
        <f t="shared" si="83"/>
        <v>-0.55949275347472704</v>
      </c>
      <c r="G1040" s="2">
        <f t="shared" si="80"/>
        <v>-0.55949275347472704</v>
      </c>
    </row>
    <row r="1041" spans="1:7" x14ac:dyDescent="0.25">
      <c r="A1041" s="18">
        <v>20.76</v>
      </c>
      <c r="B1041" s="2">
        <v>8.0269999999999994E-2</v>
      </c>
      <c r="C1041" s="2">
        <f t="shared" si="81"/>
        <v>-16.053999999999998</v>
      </c>
      <c r="D1041" s="2">
        <f t="shared" si="82"/>
        <v>1.7286245149948396E-2</v>
      </c>
      <c r="E1041" s="2">
        <f t="shared" si="84"/>
        <v>2.2915428387859128E-2</v>
      </c>
      <c r="F1041" s="2">
        <f t="shared" si="83"/>
        <v>-0.59885735449845956</v>
      </c>
      <c r="G1041" s="2">
        <f t="shared" si="80"/>
        <v>-0.59885735449845956</v>
      </c>
    </row>
    <row r="1042" spans="1:7" x14ac:dyDescent="0.25">
      <c r="A1042" s="18">
        <v>20.78</v>
      </c>
      <c r="B1042" s="2">
        <v>9.8849999999999993E-2</v>
      </c>
      <c r="C1042" s="2">
        <f t="shared" si="81"/>
        <v>-19.77</v>
      </c>
      <c r="D1042" s="2">
        <f t="shared" si="82"/>
        <v>1.7739522242273487E-2</v>
      </c>
      <c r="E1042" s="2">
        <f t="shared" si="84"/>
        <v>1.7320500853111858E-2</v>
      </c>
      <c r="F1042" s="2">
        <f t="shared" si="83"/>
        <v>-0.63103566726820104</v>
      </c>
      <c r="G1042" s="2">
        <f t="shared" si="80"/>
        <v>-0.63103566726820104</v>
      </c>
    </row>
    <row r="1043" spans="1:7" x14ac:dyDescent="0.25">
      <c r="A1043" s="18">
        <v>20.8</v>
      </c>
      <c r="B1043" s="2">
        <v>6.4519999999999994E-2</v>
      </c>
      <c r="C1043" s="2">
        <f t="shared" si="81"/>
        <v>-12.903999999999998</v>
      </c>
      <c r="D1043" s="2">
        <f t="shared" si="82"/>
        <v>1.7940385067691297E-2</v>
      </c>
      <c r="E1043" s="2">
        <f t="shared" si="84"/>
        <v>1.1331927308127262E-2</v>
      </c>
      <c r="F1043" s="2">
        <f t="shared" si="83"/>
        <v>-0.60273155203073925</v>
      </c>
      <c r="G1043" s="2">
        <f t="shared" si="80"/>
        <v>-0.60273155203073925</v>
      </c>
    </row>
    <row r="1044" spans="1:7" x14ac:dyDescent="0.25">
      <c r="A1044" s="18">
        <v>20.82</v>
      </c>
      <c r="B1044" s="2">
        <v>3.0190000000000002E-2</v>
      </c>
      <c r="C1044" s="2">
        <f t="shared" si="81"/>
        <v>-6.0380000000000003</v>
      </c>
      <c r="D1044" s="2">
        <f t="shared" si="82"/>
        <v>1.7900155272296811E-2</v>
      </c>
      <c r="E1044" s="2">
        <f t="shared" si="84"/>
        <v>5.0215706354452515E-3</v>
      </c>
      <c r="F1044" s="2">
        <f t="shared" si="83"/>
        <v>-0.56719465816891346</v>
      </c>
      <c r="G1044" s="2">
        <f t="shared" si="80"/>
        <v>-0.56719465816891346</v>
      </c>
    </row>
    <row r="1045" spans="1:7" x14ac:dyDescent="0.25">
      <c r="A1045" s="18">
        <v>20.84</v>
      </c>
      <c r="B1045" s="2">
        <v>-4.1399999999999996E-3</v>
      </c>
      <c r="C1045" s="2">
        <f t="shared" si="81"/>
        <v>0.82799999999999996</v>
      </c>
      <c r="D1045" s="2">
        <f t="shared" si="82"/>
        <v>1.763304761363476E-2</v>
      </c>
      <c r="E1045" s="2">
        <f t="shared" si="84"/>
        <v>-1.0057448848621413E-3</v>
      </c>
      <c r="F1045" s="2">
        <f t="shared" si="83"/>
        <v>-0.5248514284090372</v>
      </c>
      <c r="G1045" s="2">
        <f t="shared" si="80"/>
        <v>-0.5248514284090372</v>
      </c>
    </row>
    <row r="1046" spans="1:7" x14ac:dyDescent="0.25">
      <c r="A1046" s="18">
        <v>20.86</v>
      </c>
      <c r="B1046" s="2">
        <v>-3.848E-2</v>
      </c>
      <c r="C1046" s="2">
        <f t="shared" si="81"/>
        <v>7.6959999999999997</v>
      </c>
      <c r="D1046" s="2">
        <f t="shared" si="82"/>
        <v>1.7155999383609094E-2</v>
      </c>
      <c r="E1046" s="2">
        <f t="shared" si="84"/>
        <v>-6.6776914665512763E-3</v>
      </c>
      <c r="F1046" s="2">
        <f t="shared" si="83"/>
        <v>-0.47619998150827225</v>
      </c>
      <c r="G1046" s="2">
        <f t="shared" si="80"/>
        <v>-0.47619998150827225</v>
      </c>
    </row>
    <row r="1047" spans="1:7" x14ac:dyDescent="0.25">
      <c r="A1047" s="18">
        <v>20.88</v>
      </c>
      <c r="B1047" s="2">
        <v>-7.281E-2</v>
      </c>
      <c r="C1047" s="2">
        <f t="shared" si="81"/>
        <v>14.561999999999999</v>
      </c>
      <c r="D1047" s="2">
        <f t="shared" si="82"/>
        <v>1.6488471160980119E-2</v>
      </c>
      <c r="E1047" s="2">
        <f t="shared" si="84"/>
        <v>-1.1926205750641648E-2</v>
      </c>
      <c r="F1047" s="2">
        <f t="shared" si="83"/>
        <v>-0.42184413482938654</v>
      </c>
      <c r="G1047" s="2">
        <f t="shared" si="80"/>
        <v>-0.42184413482938654</v>
      </c>
    </row>
    <row r="1048" spans="1:7" x14ac:dyDescent="0.25">
      <c r="A1048" s="18">
        <v>20.9</v>
      </c>
      <c r="B1048" s="2">
        <v>-5.9990000000000002E-2</v>
      </c>
      <c r="C1048" s="2">
        <f t="shared" si="81"/>
        <v>11.998000000000001</v>
      </c>
      <c r="D1048" s="2">
        <f t="shared" si="82"/>
        <v>1.565220528441939E-2</v>
      </c>
      <c r="E1048" s="2">
        <f t="shared" si="84"/>
        <v>-1.6688205565724371E-2</v>
      </c>
      <c r="F1048" s="2">
        <f t="shared" si="83"/>
        <v>-0.40957615853258467</v>
      </c>
      <c r="G1048" s="2">
        <f t="shared" si="80"/>
        <v>-0.40957615853258467</v>
      </c>
    </row>
    <row r="1049" spans="1:7" x14ac:dyDescent="0.25">
      <c r="A1049" s="18">
        <v>20.92</v>
      </c>
      <c r="B1049" s="2">
        <v>-4.7169999999999997E-2</v>
      </c>
      <c r="C1049" s="2">
        <f t="shared" si="81"/>
        <v>9.4339999999999993</v>
      </c>
      <c r="D1049" s="2">
        <f t="shared" si="82"/>
        <v>1.4652108944445626E-2</v>
      </c>
      <c r="E1049" s="2">
        <f t="shared" si="84"/>
        <v>-2.0906646914018237E-2</v>
      </c>
      <c r="F1049" s="2">
        <f t="shared" si="83"/>
        <v>-0.39239326833336807</v>
      </c>
      <c r="G1049" s="2">
        <f t="shared" si="80"/>
        <v>-0.39239326833336807</v>
      </c>
    </row>
    <row r="1050" spans="1:7" x14ac:dyDescent="0.25">
      <c r="A1050" s="18">
        <v>20.94</v>
      </c>
      <c r="B1050" s="2">
        <v>-3.4349999999999999E-2</v>
      </c>
      <c r="C1050" s="2">
        <f t="shared" si="81"/>
        <v>6.87</v>
      </c>
      <c r="D1050" s="2">
        <f t="shared" si="82"/>
        <v>1.3495055297138516E-2</v>
      </c>
      <c r="E1050" s="2">
        <f t="shared" si="84"/>
        <v>-2.5002408499344084E-2</v>
      </c>
      <c r="F1050" s="2">
        <f t="shared" si="83"/>
        <v>-0.37050165891415032</v>
      </c>
      <c r="G1050" s="2">
        <f t="shared" si="80"/>
        <v>-0.37050165891415032</v>
      </c>
    </row>
    <row r="1051" spans="1:7" x14ac:dyDescent="0.25">
      <c r="A1051" s="18">
        <v>20.96</v>
      </c>
      <c r="B1051" s="2">
        <v>-3.2309999999999998E-2</v>
      </c>
      <c r="C1051" s="2">
        <f t="shared" si="81"/>
        <v>6.4619999999999997</v>
      </c>
      <c r="D1051" s="2">
        <f t="shared" si="82"/>
        <v>1.2189800986265745E-2</v>
      </c>
      <c r="E1051" s="2">
        <f t="shared" si="84"/>
        <v>-2.8926341182677763E-2</v>
      </c>
      <c r="F1051" s="2">
        <f t="shared" si="83"/>
        <v>-0.33338402958797347</v>
      </c>
      <c r="G1051" s="2">
        <f t="shared" si="80"/>
        <v>-0.33338402958797347</v>
      </c>
    </row>
    <row r="1052" spans="1:7" x14ac:dyDescent="0.25">
      <c r="A1052" s="18">
        <v>20.98</v>
      </c>
      <c r="B1052" s="2">
        <v>-3.0280000000000001E-2</v>
      </c>
      <c r="C1052" s="2">
        <f t="shared" si="81"/>
        <v>6.056</v>
      </c>
      <c r="D1052" s="2">
        <f t="shared" si="82"/>
        <v>1.0751193063557785E-2</v>
      </c>
      <c r="E1052" s="2">
        <f t="shared" si="84"/>
        <v>-3.2631357771819268E-2</v>
      </c>
      <c r="F1052" s="2">
        <f t="shared" si="83"/>
        <v>-0.29225579190673195</v>
      </c>
      <c r="G1052" s="2">
        <f t="shared" si="80"/>
        <v>-0.29225579190673195</v>
      </c>
    </row>
    <row r="1053" spans="1:7" x14ac:dyDescent="0.25">
      <c r="A1053" s="18">
        <v>21</v>
      </c>
      <c r="B1053" s="2">
        <v>-2.8240000000000001E-2</v>
      </c>
      <c r="C1053" s="2">
        <f t="shared" si="81"/>
        <v>5.6480000000000006</v>
      </c>
      <c r="D1053" s="2">
        <f t="shared" si="82"/>
        <v>9.195682824087132E-3</v>
      </c>
      <c r="E1053" s="2">
        <f t="shared" si="84"/>
        <v>-3.5965198067699003E-2</v>
      </c>
      <c r="F1053" s="2">
        <f t="shared" si="83"/>
        <v>-0.24763048472261706</v>
      </c>
      <c r="G1053" s="2">
        <f t="shared" si="80"/>
        <v>-0.24763048472261706</v>
      </c>
    </row>
    <row r="1054" spans="1:7" x14ac:dyDescent="0.25">
      <c r="A1054" s="18">
        <v>21.02</v>
      </c>
      <c r="B1054" s="2">
        <v>-3.96E-3</v>
      </c>
      <c r="C1054" s="2">
        <f t="shared" si="81"/>
        <v>0.79200000000000004</v>
      </c>
      <c r="D1054" s="2">
        <f t="shared" si="82"/>
        <v>7.5411203907274323E-3</v>
      </c>
      <c r="E1054" s="2">
        <f t="shared" si="84"/>
        <v>-3.8887755986766324E-2</v>
      </c>
      <c r="F1054" s="2">
        <f t="shared" si="83"/>
        <v>-0.22227361172182319</v>
      </c>
      <c r="G1054" s="2">
        <f t="shared" si="80"/>
        <v>-0.22227361172182319</v>
      </c>
    </row>
    <row r="1055" spans="1:7" x14ac:dyDescent="0.25">
      <c r="A1055" s="18">
        <v>21.04</v>
      </c>
      <c r="B1055" s="2">
        <v>2.0320000000000001E-2</v>
      </c>
      <c r="C1055" s="2">
        <f t="shared" si="81"/>
        <v>-4.0640000000000001</v>
      </c>
      <c r="D1055" s="2">
        <f t="shared" si="82"/>
        <v>5.7976485126790033E-3</v>
      </c>
      <c r="E1055" s="2">
        <f t="shared" si="84"/>
        <v>-4.1364060833992494E-2</v>
      </c>
      <c r="F1055" s="2">
        <f t="shared" si="83"/>
        <v>-0.1942494553803728</v>
      </c>
      <c r="G1055" s="2">
        <f t="shared" si="80"/>
        <v>-0.1942494553803728</v>
      </c>
    </row>
    <row r="1056" spans="1:7" x14ac:dyDescent="0.25">
      <c r="A1056" s="18">
        <v>21.06</v>
      </c>
      <c r="B1056" s="2">
        <v>3.13E-3</v>
      </c>
      <c r="C1056" s="2">
        <f t="shared" si="81"/>
        <v>-0.626</v>
      </c>
      <c r="D1056" s="2">
        <f t="shared" si="82"/>
        <v>3.9764768524784251E-3</v>
      </c>
      <c r="E1056" s="2">
        <f t="shared" si="84"/>
        <v>-4.3586796951210725E-2</v>
      </c>
      <c r="F1056" s="2">
        <f t="shared" si="83"/>
        <v>-0.12242430557435281</v>
      </c>
      <c r="G1056" s="2">
        <f t="shared" si="80"/>
        <v>-0.12242430557435281</v>
      </c>
    </row>
    <row r="1057" spans="1:7" x14ac:dyDescent="0.25">
      <c r="A1057" s="18">
        <v>21.08</v>
      </c>
      <c r="B1057" s="2">
        <v>-1.406E-2</v>
      </c>
      <c r="C1057" s="2">
        <f t="shared" si="81"/>
        <v>2.8119999999999998</v>
      </c>
      <c r="D1057" s="2">
        <f t="shared" si="82"/>
        <v>2.1063354700481059E-3</v>
      </c>
      <c r="E1057" s="2">
        <f t="shared" si="84"/>
        <v>-4.5529291505014453E-2</v>
      </c>
      <c r="F1057" s="2">
        <f t="shared" si="83"/>
        <v>-4.9130064101444132E-2</v>
      </c>
      <c r="G1057" s="2">
        <f t="shared" si="80"/>
        <v>-4.9130064101444132E-2</v>
      </c>
    </row>
    <row r="1058" spans="1:7" x14ac:dyDescent="0.25">
      <c r="A1058" s="18">
        <v>21.1</v>
      </c>
      <c r="B1058" s="2">
        <v>-3.124E-2</v>
      </c>
      <c r="C1058" s="2">
        <f t="shared" si="81"/>
        <v>6.2480000000000002</v>
      </c>
      <c r="D1058" s="2">
        <f t="shared" si="82"/>
        <v>2.1654206197720897E-4</v>
      </c>
      <c r="E1058" s="2">
        <f t="shared" si="84"/>
        <v>-4.6753534560757981E-2</v>
      </c>
      <c r="F1058" s="2">
        <f t="shared" si="83"/>
        <v>2.4743738140683806E-2</v>
      </c>
      <c r="G1058" s="2">
        <f t="shared" si="80"/>
        <v>2.4743738140683806E-2</v>
      </c>
    </row>
    <row r="1059" spans="1:7" x14ac:dyDescent="0.25">
      <c r="A1059" s="18">
        <v>21.12</v>
      </c>
      <c r="B1059" s="2">
        <v>-4.8430000000000001E-2</v>
      </c>
      <c r="C1059" s="2">
        <f t="shared" si="81"/>
        <v>9.6859999999999999</v>
      </c>
      <c r="D1059" s="2">
        <f t="shared" si="82"/>
        <v>-1.6633538508374144E-3</v>
      </c>
      <c r="E1059" s="2">
        <f t="shared" si="84"/>
        <v>-4.7244835201772417E-2</v>
      </c>
      <c r="F1059" s="2">
        <f t="shared" si="83"/>
        <v>9.8330615525123261E-2</v>
      </c>
      <c r="G1059" s="2">
        <f t="shared" si="80"/>
        <v>9.8330615525123261E-2</v>
      </c>
    </row>
    <row r="1060" spans="1:7" x14ac:dyDescent="0.25">
      <c r="A1060" s="18">
        <v>21.14</v>
      </c>
      <c r="B1060" s="2">
        <v>-6.5619999999999998E-2</v>
      </c>
      <c r="C1060" s="2">
        <f t="shared" si="81"/>
        <v>13.123999999999999</v>
      </c>
      <c r="D1060" s="2">
        <f t="shared" si="82"/>
        <v>-3.5039175174419886E-3</v>
      </c>
      <c r="E1060" s="2">
        <f t="shared" si="84"/>
        <v>-4.6997397820365584E-2</v>
      </c>
      <c r="F1060" s="2">
        <f t="shared" si="83"/>
        <v>0.17073752552325838</v>
      </c>
      <c r="G1060" s="2">
        <f t="shared" si="80"/>
        <v>0.17073752552325838</v>
      </c>
    </row>
    <row r="1061" spans="1:7" x14ac:dyDescent="0.25">
      <c r="A1061" s="18">
        <v>21.16</v>
      </c>
      <c r="B1061" s="2">
        <v>-5.1319999999999998E-2</v>
      </c>
      <c r="C1061" s="2">
        <f t="shared" si="81"/>
        <v>10.263999999999999</v>
      </c>
      <c r="D1061" s="2">
        <f t="shared" si="82"/>
        <v>-5.2761861738372592E-3</v>
      </c>
      <c r="E1061" s="2">
        <f t="shared" si="84"/>
        <v>-4.6014091665114353E-2</v>
      </c>
      <c r="F1061" s="2">
        <f t="shared" si="83"/>
        <v>0.20960558521511796</v>
      </c>
      <c r="G1061" s="2">
        <f t="shared" si="80"/>
        <v>0.20960558521511796</v>
      </c>
    </row>
    <row r="1062" spans="1:7" x14ac:dyDescent="0.25">
      <c r="A1062" s="18">
        <v>21.18</v>
      </c>
      <c r="B1062" s="2">
        <v>-3.7019999999999997E-2</v>
      </c>
      <c r="C1062" s="2">
        <f t="shared" si="81"/>
        <v>7.4039999999999999</v>
      </c>
      <c r="D1062" s="2">
        <f t="shared" si="82"/>
        <v>-6.9646125961464822E-3</v>
      </c>
      <c r="E1062" s="2">
        <f t="shared" si="84"/>
        <v>-4.4306716409881763E-2</v>
      </c>
      <c r="F1062" s="2">
        <f t="shared" si="83"/>
        <v>0.24595837788439837</v>
      </c>
      <c r="G1062" s="2">
        <f t="shared" si="80"/>
        <v>0.24595837788439837</v>
      </c>
    </row>
    <row r="1063" spans="1:7" x14ac:dyDescent="0.25">
      <c r="A1063" s="18">
        <v>21.2</v>
      </c>
      <c r="B1063" s="2">
        <v>-2.2720000000000001E-2</v>
      </c>
      <c r="C1063" s="2">
        <f t="shared" si="81"/>
        <v>4.5440000000000005</v>
      </c>
      <c r="D1063" s="2">
        <f t="shared" si="82"/>
        <v>-8.5546556673019459E-3</v>
      </c>
      <c r="E1063" s="2">
        <f t="shared" si="84"/>
        <v>-4.2210660557730574E-2</v>
      </c>
      <c r="F1063" s="2">
        <f t="shared" si="83"/>
        <v>0.27935967001905831</v>
      </c>
      <c r="G1063" s="2">
        <f t="shared" si="80"/>
        <v>0.27935967001905831</v>
      </c>
    </row>
    <row r="1064" spans="1:7" x14ac:dyDescent="0.25">
      <c r="A1064" s="18">
        <v>21.22</v>
      </c>
      <c r="B1064" s="2">
        <v>-8.43E-3</v>
      </c>
      <c r="C1064" s="2">
        <f t="shared" si="81"/>
        <v>1.6859999999999999</v>
      </c>
      <c r="D1064" s="2">
        <f t="shared" si="82"/>
        <v>-1.0032954870449787E-2</v>
      </c>
      <c r="E1064" s="2">
        <f t="shared" si="84"/>
        <v>-3.975107677888659E-2</v>
      </c>
      <c r="F1064" s="2">
        <f t="shared" si="83"/>
        <v>0.30941864611349135</v>
      </c>
      <c r="G1064" s="2">
        <f t="shared" si="80"/>
        <v>0.30941864611349135</v>
      </c>
    </row>
    <row r="1065" spans="1:7" x14ac:dyDescent="0.25">
      <c r="A1065" s="18">
        <v>21.24</v>
      </c>
      <c r="B1065" s="2">
        <v>5.8700000000000002E-3</v>
      </c>
      <c r="C1065" s="2">
        <f t="shared" si="81"/>
        <v>-1.1739999999999999</v>
      </c>
      <c r="D1065" s="2">
        <f t="shared" si="82"/>
        <v>-1.1387486615152232E-2</v>
      </c>
      <c r="E1065" s="2">
        <f t="shared" si="84"/>
        <v>-3.695748007869603E-2</v>
      </c>
      <c r="F1065" s="2">
        <f t="shared" si="83"/>
        <v>0.33575459845456079</v>
      </c>
      <c r="G1065" s="2">
        <f t="shared" si="80"/>
        <v>0.33575459845456079</v>
      </c>
    </row>
    <row r="1066" spans="1:7" x14ac:dyDescent="0.25">
      <c r="A1066" s="18">
        <v>21.26</v>
      </c>
      <c r="B1066" s="2">
        <v>2.017E-2</v>
      </c>
      <c r="C1066" s="2">
        <f t="shared" si="81"/>
        <v>-4.0339999999999998</v>
      </c>
      <c r="D1066" s="2">
        <f t="shared" si="82"/>
        <v>-1.2607716520472852E-2</v>
      </c>
      <c r="E1066" s="2">
        <f t="shared" si="84"/>
        <v>-3.3863293617561116E-2</v>
      </c>
      <c r="F1066" s="2">
        <f t="shared" si="83"/>
        <v>0.35806149561418144</v>
      </c>
      <c r="G1066" s="2">
        <f t="shared" si="80"/>
        <v>0.35806149561418144</v>
      </c>
    </row>
    <row r="1067" spans="1:7" x14ac:dyDescent="0.25">
      <c r="A1067" s="18">
        <v>21.28</v>
      </c>
      <c r="B1067" s="2">
        <v>2.6980000000000001E-2</v>
      </c>
      <c r="C1067" s="2">
        <f t="shared" si="81"/>
        <v>-5.3959999999999999</v>
      </c>
      <c r="D1067" s="2">
        <f t="shared" si="82"/>
        <v>-1.36847218275478E-2</v>
      </c>
      <c r="E1067" s="2">
        <f t="shared" si="84"/>
        <v>-3.0505747633015508E-2</v>
      </c>
      <c r="F1067" s="2">
        <f t="shared" si="83"/>
        <v>0.38356165482643018</v>
      </c>
      <c r="G1067" s="2">
        <f t="shared" si="80"/>
        <v>0.38356165482643018</v>
      </c>
    </row>
    <row r="1068" spans="1:7" x14ac:dyDescent="0.25">
      <c r="A1068" s="18">
        <v>21.3</v>
      </c>
      <c r="B1068" s="2">
        <v>3.3790000000000001E-2</v>
      </c>
      <c r="C1068" s="2">
        <f t="shared" si="81"/>
        <v>-6.758</v>
      </c>
      <c r="D1068" s="2">
        <f t="shared" si="82"/>
        <v>-1.4608302472692175E-2</v>
      </c>
      <c r="E1068" s="2">
        <f t="shared" si="84"/>
        <v>-2.6925132676873693E-2</v>
      </c>
      <c r="F1068" s="2">
        <f t="shared" si="83"/>
        <v>0.40445907418076504</v>
      </c>
      <c r="G1068" s="2">
        <f t="shared" si="80"/>
        <v>0.40445907418076504</v>
      </c>
    </row>
    <row r="1069" spans="1:7" x14ac:dyDescent="0.25">
      <c r="A1069" s="18">
        <v>21.32</v>
      </c>
      <c r="B1069" s="2">
        <v>4.061E-2</v>
      </c>
      <c r="C1069" s="2">
        <f t="shared" si="81"/>
        <v>-8.1219999999999999</v>
      </c>
      <c r="D1069" s="2">
        <f t="shared" si="82"/>
        <v>-1.5370099488164245E-2</v>
      </c>
      <c r="E1069" s="2">
        <f t="shared" si="84"/>
        <v>-2.3089516128609391E-2</v>
      </c>
      <c r="F1069" s="2">
        <f t="shared" si="83"/>
        <v>0.42049298464492435</v>
      </c>
      <c r="G1069" s="2">
        <f t="shared" si="80"/>
        <v>0.42049298464492435</v>
      </c>
    </row>
    <row r="1070" spans="1:7" x14ac:dyDescent="0.25">
      <c r="A1070" s="18">
        <v>21.34</v>
      </c>
      <c r="B1070" s="2">
        <v>4.7419999999999997E-2</v>
      </c>
      <c r="C1070" s="2">
        <f t="shared" si="81"/>
        <v>-9.484</v>
      </c>
      <c r="D1070" s="2">
        <f t="shared" si="82"/>
        <v>-1.5963699309778343E-2</v>
      </c>
      <c r="E1070" s="2">
        <f t="shared" si="84"/>
        <v>-1.9044925386801741E-2</v>
      </c>
      <c r="F1070" s="2">
        <f t="shared" si="83"/>
        <v>0.43149097929335783</v>
      </c>
      <c r="G1070" s="2">
        <f t="shared" si="80"/>
        <v>0.43149097929335783</v>
      </c>
    </row>
    <row r="1071" spans="1:7" x14ac:dyDescent="0.25">
      <c r="A1071" s="18">
        <v>21.36</v>
      </c>
      <c r="B1071" s="2">
        <v>5.423E-2</v>
      </c>
      <c r="C1071" s="2">
        <f t="shared" si="81"/>
        <v>-10.846</v>
      </c>
      <c r="D1071" s="2">
        <f t="shared" si="82"/>
        <v>-1.63847027396751E-2</v>
      </c>
      <c r="E1071" s="2">
        <f t="shared" si="84"/>
        <v>-1.4839995540352454E-2</v>
      </c>
      <c r="F1071" s="2">
        <f t="shared" si="83"/>
        <v>0.43731108219025733</v>
      </c>
      <c r="G1071" s="2">
        <f t="shared" si="80"/>
        <v>0.43731108219025733</v>
      </c>
    </row>
    <row r="1072" spans="1:7" x14ac:dyDescent="0.25">
      <c r="A1072" s="18">
        <v>21.38</v>
      </c>
      <c r="B1072" s="2">
        <v>3.5349999999999999E-2</v>
      </c>
      <c r="C1072" s="2">
        <f t="shared" si="81"/>
        <v>-7.07</v>
      </c>
      <c r="D1072" s="2">
        <f t="shared" si="82"/>
        <v>-1.6630781736695754E-2</v>
      </c>
      <c r="E1072" s="2">
        <f t="shared" si="84"/>
        <v>-1.0525085747418918E-2</v>
      </c>
      <c r="F1072" s="2">
        <f t="shared" si="83"/>
        <v>0.46357345210086554</v>
      </c>
      <c r="G1072" s="2">
        <f t="shared" si="80"/>
        <v>0.46357345210086554</v>
      </c>
    </row>
    <row r="1073" spans="1:7" x14ac:dyDescent="0.25">
      <c r="A1073" s="18">
        <v>21.4</v>
      </c>
      <c r="B1073" s="2">
        <v>1.6469999999999999E-2</v>
      </c>
      <c r="C1073" s="2">
        <f t="shared" si="81"/>
        <v>-3.2939999999999996</v>
      </c>
      <c r="D1073" s="2">
        <f t="shared" si="82"/>
        <v>-1.6691431352876061E-2</v>
      </c>
      <c r="E1073" s="2">
        <f t="shared" si="84"/>
        <v>-6.1519749255163451E-3</v>
      </c>
      <c r="F1073" s="2">
        <f t="shared" si="83"/>
        <v>0.48427294058626597</v>
      </c>
      <c r="G1073" s="2">
        <f t="shared" si="80"/>
        <v>0.48427294058626597</v>
      </c>
    </row>
    <row r="1074" spans="1:7" x14ac:dyDescent="0.25">
      <c r="A1074" s="18">
        <v>21.42</v>
      </c>
      <c r="B1074" s="2">
        <v>1.6219999999999998E-2</v>
      </c>
      <c r="C1074" s="2">
        <f t="shared" si="81"/>
        <v>-3.2439999999999998</v>
      </c>
      <c r="D1074" s="2">
        <f t="shared" si="82"/>
        <v>-1.6558371792821863E-2</v>
      </c>
      <c r="E1074" s="2">
        <f t="shared" si="84"/>
        <v>-1.5162404045076898E-3</v>
      </c>
      <c r="F1074" s="2">
        <f t="shared" si="83"/>
        <v>0.48053115378465616</v>
      </c>
      <c r="G1074" s="2">
        <f t="shared" si="80"/>
        <v>0.48053115378465616</v>
      </c>
    </row>
    <row r="1075" spans="1:7" x14ac:dyDescent="0.25">
      <c r="A1075" s="18">
        <v>21.44</v>
      </c>
      <c r="B1075" s="2">
        <v>1.5980000000000001E-2</v>
      </c>
      <c r="C1075" s="2">
        <f t="shared" si="81"/>
        <v>-3.1960000000000002</v>
      </c>
      <c r="D1075" s="2">
        <f t="shared" si="82"/>
        <v>-1.6233099771253801E-2</v>
      </c>
      <c r="E1075" s="2">
        <f t="shared" si="84"/>
        <v>3.3264890013549701E-3</v>
      </c>
      <c r="F1075" s="2">
        <f t="shared" si="83"/>
        <v>0.47101299313761186</v>
      </c>
      <c r="G1075" s="2">
        <f t="shared" si="80"/>
        <v>0.47101299313761186</v>
      </c>
    </row>
    <row r="1076" spans="1:7" x14ac:dyDescent="0.25">
      <c r="A1076" s="18">
        <v>21.46</v>
      </c>
      <c r="B1076" s="2">
        <v>1.5740000000000001E-2</v>
      </c>
      <c r="C1076" s="2">
        <f t="shared" si="81"/>
        <v>-3.1480000000000001</v>
      </c>
      <c r="D1076" s="2">
        <f t="shared" si="82"/>
        <v>-1.5719422552430695E-2</v>
      </c>
      <c r="E1076" s="2">
        <f t="shared" si="84"/>
        <v>8.1318005392015322E-3</v>
      </c>
      <c r="F1076" s="2">
        <f t="shared" si="83"/>
        <v>0.45584267657292149</v>
      </c>
      <c r="G1076" s="2">
        <f t="shared" si="80"/>
        <v>0.45584267657292149</v>
      </c>
    </row>
    <row r="1077" spans="1:7" x14ac:dyDescent="0.25">
      <c r="A1077" s="18">
        <v>21.48</v>
      </c>
      <c r="B1077" s="2">
        <v>7.4700000000000001E-3</v>
      </c>
      <c r="C1077" s="2">
        <f t="shared" si="81"/>
        <v>-1.494</v>
      </c>
      <c r="D1077" s="2">
        <f t="shared" si="82"/>
        <v>-1.5023408262978421E-2</v>
      </c>
      <c r="E1077" s="2">
        <f t="shared" si="84"/>
        <v>1.2841930470577651E-2</v>
      </c>
      <c r="F1077" s="2">
        <f t="shared" si="83"/>
        <v>0.44323224788935484</v>
      </c>
      <c r="G1077" s="2">
        <f t="shared" si="80"/>
        <v>0.44323224788935484</v>
      </c>
    </row>
    <row r="1078" spans="1:7" x14ac:dyDescent="0.25">
      <c r="A1078" s="18">
        <v>21.5</v>
      </c>
      <c r="B1078" s="2">
        <v>-8.0000000000000004E-4</v>
      </c>
      <c r="C1078" s="2">
        <f t="shared" si="81"/>
        <v>0.16</v>
      </c>
      <c r="D1078" s="2">
        <f t="shared" si="82"/>
        <v>-1.4150101074370404E-2</v>
      </c>
      <c r="E1078" s="2">
        <f t="shared" si="84"/>
        <v>1.7400357236306865E-2</v>
      </c>
      <c r="F1078" s="2">
        <f t="shared" si="83"/>
        <v>0.42530303223110938</v>
      </c>
      <c r="G1078" s="2">
        <f t="shared" si="80"/>
        <v>0.42530303223110938</v>
      </c>
    </row>
    <row r="1079" spans="1:7" x14ac:dyDescent="0.25">
      <c r="A1079" s="18">
        <v>21.52</v>
      </c>
      <c r="B1079" s="2">
        <v>-9.0699999999999999E-3</v>
      </c>
      <c r="C1079" s="2">
        <f t="shared" si="81"/>
        <v>1.8140000000000001</v>
      </c>
      <c r="D1079" s="2">
        <f t="shared" si="82"/>
        <v>-1.3106672672869944E-2</v>
      </c>
      <c r="E1079" s="2">
        <f t="shared" si="84"/>
        <v>2.1832679715200413E-2</v>
      </c>
      <c r="F1079" s="2">
        <f t="shared" si="83"/>
        <v>0.40227018018609922</v>
      </c>
      <c r="G1079" s="2">
        <f t="shared" si="80"/>
        <v>0.40227018018609922</v>
      </c>
    </row>
    <row r="1080" spans="1:7" x14ac:dyDescent="0.25">
      <c r="A1080" s="18">
        <v>21.54</v>
      </c>
      <c r="B1080" s="2">
        <v>7.2000000000000005E-4</v>
      </c>
      <c r="C1080" s="2">
        <f t="shared" si="81"/>
        <v>-0.14400000000000002</v>
      </c>
      <c r="D1080" s="2">
        <f t="shared" si="82"/>
        <v>-1.1902336199295043E-2</v>
      </c>
      <c r="E1080" s="2">
        <f t="shared" si="84"/>
        <v>2.6085710037511509E-2</v>
      </c>
      <c r="F1080" s="2">
        <f t="shared" si="83"/>
        <v>0.35635008597884998</v>
      </c>
      <c r="G1080" s="2">
        <f t="shared" si="80"/>
        <v>0.35635008597884998</v>
      </c>
    </row>
    <row r="1081" spans="1:7" x14ac:dyDescent="0.25">
      <c r="A1081" s="18">
        <v>21.56</v>
      </c>
      <c r="B1081" s="2">
        <v>1.051E-2</v>
      </c>
      <c r="C1081" s="2">
        <f t="shared" si="81"/>
        <v>-2.1019999999999999</v>
      </c>
      <c r="D1081" s="2">
        <f t="shared" si="82"/>
        <v>-1.0555459691328603E-2</v>
      </c>
      <c r="E1081" s="2">
        <f t="shared" si="84"/>
        <v>3.01084118393725E-2</v>
      </c>
      <c r="F1081" s="2">
        <f t="shared" si="83"/>
        <v>0.30615379073985205</v>
      </c>
      <c r="G1081" s="2">
        <f t="shared" si="80"/>
        <v>0.30615379073985205</v>
      </c>
    </row>
    <row r="1082" spans="1:7" x14ac:dyDescent="0.25">
      <c r="A1082" s="18">
        <v>21.58</v>
      </c>
      <c r="B1082" s="2">
        <v>2.0299999999999999E-2</v>
      </c>
      <c r="C1082" s="2">
        <f t="shared" si="81"/>
        <v>-4.0599999999999996</v>
      </c>
      <c r="D1082" s="2">
        <f t="shared" si="82"/>
        <v>-9.0861216670662225E-3</v>
      </c>
      <c r="E1082" s="2">
        <f t="shared" si="84"/>
        <v>3.3671912699160998E-2</v>
      </c>
      <c r="F1082" s="2">
        <f t="shared" si="83"/>
        <v>0.25228365001199371</v>
      </c>
      <c r="G1082" s="2">
        <f t="shared" si="80"/>
        <v>0.25228365001199371</v>
      </c>
    </row>
    <row r="1083" spans="1:7" x14ac:dyDescent="0.25">
      <c r="A1083" s="18">
        <v>21.6</v>
      </c>
      <c r="B1083" s="2">
        <v>3.0089999999999999E-2</v>
      </c>
      <c r="C1083" s="2">
        <f t="shared" si="81"/>
        <v>-6.0179999999999998</v>
      </c>
      <c r="D1083" s="2">
        <f t="shared" si="82"/>
        <v>-7.5158701827990441E-3</v>
      </c>
      <c r="E1083" s="2">
        <f t="shared" si="84"/>
        <v>3.6733450606559519E-2</v>
      </c>
      <c r="F1083" s="2">
        <f t="shared" si="83"/>
        <v>0.19538610548397145</v>
      </c>
      <c r="G1083" s="2">
        <f t="shared" si="80"/>
        <v>0.19538610548397145</v>
      </c>
    </row>
    <row r="1084" spans="1:7" x14ac:dyDescent="0.25">
      <c r="A1084" s="18">
        <v>21.62</v>
      </c>
      <c r="B1084" s="2">
        <v>3.9890000000000002E-2</v>
      </c>
      <c r="C1084" s="2">
        <f t="shared" si="81"/>
        <v>-7.9780000000000006</v>
      </c>
      <c r="D1084" s="2">
        <f t="shared" si="82"/>
        <v>-5.8674642563382772E-3</v>
      </c>
      <c r="E1084" s="2">
        <f t="shared" si="84"/>
        <v>3.9256287106679458E-2</v>
      </c>
      <c r="F1084" s="2">
        <f t="shared" si="83"/>
        <v>0.13613392769015004</v>
      </c>
      <c r="G1084" s="2">
        <f t="shared" si="80"/>
        <v>0.13613392769015004</v>
      </c>
    </row>
    <row r="1085" spans="1:7" x14ac:dyDescent="0.25">
      <c r="A1085" s="18">
        <v>21.64</v>
      </c>
      <c r="B1085" s="2">
        <v>3.4779999999999998E-2</v>
      </c>
      <c r="C1085" s="2">
        <f t="shared" si="81"/>
        <v>-6.9559999999999995</v>
      </c>
      <c r="D1085" s="2">
        <f t="shared" si="82"/>
        <v>-4.1646047588014502E-3</v>
      </c>
      <c r="E1085" s="2">
        <f t="shared" si="84"/>
        <v>4.1210148161519175E-2</v>
      </c>
      <c r="F1085" s="2">
        <f t="shared" si="83"/>
        <v>9.0158142764040286E-2</v>
      </c>
      <c r="G1085" s="2">
        <f t="shared" si="80"/>
        <v>9.0158142764040286E-2</v>
      </c>
    </row>
    <row r="1086" spans="1:7" x14ac:dyDescent="0.25">
      <c r="A1086" s="18">
        <v>21.66</v>
      </c>
      <c r="B1086" s="2">
        <v>2.9669999999999998E-2</v>
      </c>
      <c r="C1086" s="2">
        <f t="shared" si="81"/>
        <v>-5.9339999999999993</v>
      </c>
      <c r="D1086" s="2">
        <f t="shared" si="82"/>
        <v>-2.4256820041590071E-3</v>
      </c>
      <c r="E1086" s="2">
        <f t="shared" si="84"/>
        <v>4.2571487438420673E-2</v>
      </c>
      <c r="F1086" s="2">
        <f t="shared" si="83"/>
        <v>4.3100460124768328E-2</v>
      </c>
      <c r="G1086" s="2">
        <f t="shared" si="80"/>
        <v>4.3100460124768328E-2</v>
      </c>
    </row>
    <row r="1087" spans="1:7" x14ac:dyDescent="0.25">
      <c r="A1087" s="18">
        <v>21.68</v>
      </c>
      <c r="B1087" s="2">
        <v>2.4570000000000002E-2</v>
      </c>
      <c r="C1087" s="2">
        <f t="shared" si="81"/>
        <v>-4.9140000000000006</v>
      </c>
      <c r="D1087" s="2">
        <f t="shared" si="82"/>
        <v>-6.6951906546665666E-4</v>
      </c>
      <c r="E1087" s="2">
        <f t="shared" si="84"/>
        <v>4.3473068866061074E-2</v>
      </c>
      <c r="F1087" s="2">
        <f t="shared" si="83"/>
        <v>-4.484428036000002E-3</v>
      </c>
      <c r="G1087" s="2">
        <f t="shared" si="80"/>
        <v>-4.484428036000002E-3</v>
      </c>
    </row>
    <row r="1088" spans="1:7" x14ac:dyDescent="0.25">
      <c r="A1088" s="18">
        <v>21.7</v>
      </c>
      <c r="B1088" s="2">
        <v>3.075E-2</v>
      </c>
      <c r="C1088" s="2">
        <f t="shared" si="81"/>
        <v>-6.15</v>
      </c>
      <c r="D1088" s="2">
        <f t="shared" si="82"/>
        <v>1.0848501020112938E-3</v>
      </c>
      <c r="E1088" s="2">
        <f t="shared" si="84"/>
        <v>4.3904073467308756E-2</v>
      </c>
      <c r="F1088" s="2">
        <f t="shared" si="83"/>
        <v>-6.3295503060339361E-2</v>
      </c>
      <c r="G1088" s="2">
        <f t="shared" si="80"/>
        <v>-6.3295503060339361E-2</v>
      </c>
    </row>
    <row r="1089" spans="1:7" x14ac:dyDescent="0.25">
      <c r="A1089" s="18">
        <v>21.72</v>
      </c>
      <c r="B1089" s="2">
        <v>3.6940000000000001E-2</v>
      </c>
      <c r="C1089" s="2">
        <f t="shared" si="81"/>
        <v>-7.3879999999999999</v>
      </c>
      <c r="D1089" s="2">
        <f t="shared" si="82"/>
        <v>2.8139010682651086E-3</v>
      </c>
      <c r="E1089" s="2">
        <f t="shared" si="84"/>
        <v>4.3859229186948755E-2</v>
      </c>
      <c r="F1089" s="2">
        <f t="shared" si="83"/>
        <v>-0.12135703204795315</v>
      </c>
      <c r="G1089" s="2">
        <f t="shared" si="80"/>
        <v>-0.12135703204795315</v>
      </c>
    </row>
    <row r="1090" spans="1:7" x14ac:dyDescent="0.25">
      <c r="A1090" s="18">
        <v>21.74</v>
      </c>
      <c r="B1090" s="2">
        <v>4.3130000000000002E-2</v>
      </c>
      <c r="C1090" s="2">
        <f t="shared" si="81"/>
        <v>-8.6260000000000012</v>
      </c>
      <c r="D1090" s="2">
        <f t="shared" si="82"/>
        <v>4.4944092216997423E-3</v>
      </c>
      <c r="E1090" s="2">
        <f t="shared" si="84"/>
        <v>4.3226274156345369E-2</v>
      </c>
      <c r="F1090" s="2">
        <f t="shared" si="83"/>
        <v>-0.17796227665099273</v>
      </c>
      <c r="G1090" s="2">
        <f t="shared" ref="G1090:G1153" si="85">HLOOKUP($Y$3,$B$1:$F$1562,ROW(),0)</f>
        <v>-0.17796227665099273</v>
      </c>
    </row>
    <row r="1091" spans="1:7" x14ac:dyDescent="0.25">
      <c r="A1091" s="18">
        <v>21.76</v>
      </c>
      <c r="B1091" s="2">
        <v>4.931E-2</v>
      </c>
      <c r="C1091" s="2">
        <f t="shared" ref="C1091:C1154" si="86">-$M$4*B1091</f>
        <v>-9.8620000000000001</v>
      </c>
      <c r="D1091" s="2">
        <f t="shared" si="82"/>
        <v>6.103732464473979E-3</v>
      </c>
      <c r="E1091" s="2">
        <f t="shared" si="84"/>
        <v>4.201270383586584E-2</v>
      </c>
      <c r="F1091" s="2">
        <f t="shared" si="83"/>
        <v>-0.23242197393421843</v>
      </c>
      <c r="G1091" s="2">
        <f t="shared" si="85"/>
        <v>-0.23242197393421843</v>
      </c>
    </row>
    <row r="1092" spans="1:7" x14ac:dyDescent="0.25">
      <c r="A1092" s="18">
        <v>21.78</v>
      </c>
      <c r="B1092" s="2">
        <v>5.5500000000000001E-2</v>
      </c>
      <c r="C1092" s="2">
        <f t="shared" si="86"/>
        <v>-11.1</v>
      </c>
      <c r="D1092" s="2">
        <f t="shared" ref="D1092:D1155" si="87">(C1091-($Q$6*D1091)-($Q$7*D1090))/$Q$5</f>
        <v>7.6200869176745283E-3</v>
      </c>
      <c r="E1092" s="2">
        <f t="shared" si="84"/>
        <v>4.0233081069355914E-2</v>
      </c>
      <c r="F1092" s="2">
        <f t="shared" ref="F1092:F1155" si="88">(D1091-2*D1092+D1093)/($A$4^2)</f>
        <v>-0.2841026075302332</v>
      </c>
      <c r="G1092" s="2">
        <f t="shared" si="85"/>
        <v>-0.2841026075302332</v>
      </c>
    </row>
    <row r="1093" spans="1:7" x14ac:dyDescent="0.25">
      <c r="A1093" s="18">
        <v>21.8</v>
      </c>
      <c r="B1093" s="2">
        <v>6.1679999999999999E-2</v>
      </c>
      <c r="C1093" s="2">
        <f t="shared" si="86"/>
        <v>-12.336</v>
      </c>
      <c r="D1093" s="2">
        <f t="shared" si="87"/>
        <v>9.0228003278629842E-3</v>
      </c>
      <c r="E1093" s="2">
        <f t="shared" ref="E1093:E1156" si="89">(D1092-D1091)/(2*$A$4)</f>
        <v>3.7908861330013734E-2</v>
      </c>
      <c r="F1093" s="2">
        <f t="shared" si="88"/>
        <v>-0.33236400983588638</v>
      </c>
      <c r="G1093" s="2">
        <f t="shared" si="85"/>
        <v>-0.33236400983588638</v>
      </c>
    </row>
    <row r="1094" spans="1:7" x14ac:dyDescent="0.25">
      <c r="A1094" s="18">
        <v>21.82</v>
      </c>
      <c r="B1094" s="2">
        <v>-5.2599999999999999E-3</v>
      </c>
      <c r="C1094" s="2">
        <f t="shared" si="86"/>
        <v>1.052</v>
      </c>
      <c r="D1094" s="2">
        <f t="shared" si="87"/>
        <v>1.0292568134117086E-2</v>
      </c>
      <c r="E1094" s="2">
        <f t="shared" si="89"/>
        <v>3.5067835254711396E-2</v>
      </c>
      <c r="F1094" s="2">
        <f t="shared" si="88"/>
        <v>-0.30351704402351193</v>
      </c>
      <c r="G1094" s="2">
        <f t="shared" si="85"/>
        <v>-0.30351704402351193</v>
      </c>
    </row>
    <row r="1095" spans="1:7" x14ac:dyDescent="0.25">
      <c r="A1095" s="18">
        <v>21.84</v>
      </c>
      <c r="B1095" s="2">
        <v>-7.22E-2</v>
      </c>
      <c r="C1095" s="2">
        <f t="shared" si="86"/>
        <v>14.44</v>
      </c>
      <c r="D1095" s="2">
        <f t="shared" si="87"/>
        <v>1.1440929122761782E-2</v>
      </c>
      <c r="E1095" s="2">
        <f t="shared" si="89"/>
        <v>3.1744195156352538E-2</v>
      </c>
      <c r="F1095" s="2">
        <f t="shared" si="88"/>
        <v>-0.2710278736828492</v>
      </c>
      <c r="G1095" s="2">
        <f t="shared" si="85"/>
        <v>-0.2710278736828492</v>
      </c>
    </row>
    <row r="1096" spans="1:7" x14ac:dyDescent="0.25">
      <c r="A1096" s="18">
        <v>21.86</v>
      </c>
      <c r="B1096" s="2">
        <v>-6.336E-2</v>
      </c>
      <c r="C1096" s="2">
        <f t="shared" si="86"/>
        <v>12.672000000000001</v>
      </c>
      <c r="D1096" s="2">
        <f t="shared" si="87"/>
        <v>1.2480878961933339E-2</v>
      </c>
      <c r="E1096" s="2">
        <f t="shared" si="89"/>
        <v>2.8709024716117415E-2</v>
      </c>
      <c r="F1096" s="2">
        <f t="shared" si="88"/>
        <v>-0.31106636885799666</v>
      </c>
      <c r="G1096" s="2">
        <f t="shared" si="85"/>
        <v>-0.31106636885799666</v>
      </c>
    </row>
    <row r="1097" spans="1:7" x14ac:dyDescent="0.25">
      <c r="A1097" s="18">
        <v>21.88</v>
      </c>
      <c r="B1097" s="2">
        <v>-5.4510000000000003E-2</v>
      </c>
      <c r="C1097" s="2">
        <f t="shared" si="86"/>
        <v>10.902000000000001</v>
      </c>
      <c r="D1097" s="2">
        <f t="shared" si="87"/>
        <v>1.3396402253561698E-2</v>
      </c>
      <c r="E1097" s="2">
        <f t="shared" si="89"/>
        <v>2.5998745979288924E-2</v>
      </c>
      <c r="F1097" s="2">
        <f t="shared" si="88"/>
        <v>-0.34738206760685697</v>
      </c>
      <c r="G1097" s="2">
        <f t="shared" si="85"/>
        <v>-0.34738206760685697</v>
      </c>
    </row>
    <row r="1098" spans="1:7" x14ac:dyDescent="0.25">
      <c r="A1098" s="18">
        <v>21.9</v>
      </c>
      <c r="B1098" s="2">
        <v>-4.5659999999999999E-2</v>
      </c>
      <c r="C1098" s="2">
        <f t="shared" si="86"/>
        <v>9.1319999999999997</v>
      </c>
      <c r="D1098" s="2">
        <f t="shared" si="87"/>
        <v>1.4172972718147313E-2</v>
      </c>
      <c r="E1098" s="2">
        <f t="shared" si="89"/>
        <v>2.2888082290708957E-2</v>
      </c>
      <c r="F1098" s="2">
        <f t="shared" si="88"/>
        <v>-0.3795291815444175</v>
      </c>
      <c r="G1098" s="2">
        <f t="shared" si="85"/>
        <v>-0.3795291815444175</v>
      </c>
    </row>
    <row r="1099" spans="1:7" x14ac:dyDescent="0.25">
      <c r="A1099" s="18">
        <v>21.92</v>
      </c>
      <c r="B1099" s="2">
        <v>-3.6810000000000002E-2</v>
      </c>
      <c r="C1099" s="2">
        <f t="shared" si="86"/>
        <v>7.3620000000000001</v>
      </c>
      <c r="D1099" s="2">
        <f t="shared" si="87"/>
        <v>1.4797731510115162E-2</v>
      </c>
      <c r="E1099" s="2">
        <f t="shared" si="89"/>
        <v>1.9414261614640386E-2</v>
      </c>
      <c r="F1099" s="2">
        <f t="shared" si="88"/>
        <v>-0.40712194530346296</v>
      </c>
      <c r="G1099" s="2">
        <f t="shared" si="85"/>
        <v>-0.40712194530346296</v>
      </c>
    </row>
    <row r="1100" spans="1:7" x14ac:dyDescent="0.25">
      <c r="A1100" s="18">
        <v>21.94</v>
      </c>
      <c r="B1100" s="2">
        <v>-3.678E-2</v>
      </c>
      <c r="C1100" s="2">
        <f t="shared" si="86"/>
        <v>7.3559999999999999</v>
      </c>
      <c r="D1100" s="2">
        <f t="shared" si="87"/>
        <v>1.5259641523961625E-2</v>
      </c>
      <c r="E1100" s="2">
        <f t="shared" si="89"/>
        <v>1.5618969799196213E-2</v>
      </c>
      <c r="F1100" s="2">
        <f t="shared" si="88"/>
        <v>-0.42100924571885406</v>
      </c>
      <c r="G1100" s="2">
        <f t="shared" si="85"/>
        <v>-0.42100924571885406</v>
      </c>
    </row>
    <row r="1101" spans="1:7" x14ac:dyDescent="0.25">
      <c r="A1101" s="18">
        <v>21.96</v>
      </c>
      <c r="B1101" s="2">
        <v>-3.6749999999999998E-2</v>
      </c>
      <c r="C1101" s="2">
        <f t="shared" si="86"/>
        <v>7.35</v>
      </c>
      <c r="D1101" s="2">
        <f t="shared" si="87"/>
        <v>1.5553147839520548E-2</v>
      </c>
      <c r="E1101" s="2">
        <f t="shared" si="89"/>
        <v>1.1547750346161583E-2</v>
      </c>
      <c r="F1101" s="2">
        <f t="shared" si="88"/>
        <v>-0.42984443518561538</v>
      </c>
      <c r="G1101" s="2">
        <f t="shared" si="85"/>
        <v>-0.42984443518561538</v>
      </c>
    </row>
    <row r="1102" spans="1:7" x14ac:dyDescent="0.25">
      <c r="A1102" s="18">
        <v>21.98</v>
      </c>
      <c r="B1102" s="2">
        <v>-3.6720000000000003E-2</v>
      </c>
      <c r="C1102" s="2">
        <f t="shared" si="86"/>
        <v>7.3440000000000003</v>
      </c>
      <c r="D1102" s="2">
        <f t="shared" si="87"/>
        <v>1.5674716381005226E-2</v>
      </c>
      <c r="E1102" s="2">
        <f t="shared" si="89"/>
        <v>7.3376578889730853E-3</v>
      </c>
      <c r="F1102" s="2">
        <f t="shared" si="88"/>
        <v>-0.43352149143016921</v>
      </c>
      <c r="G1102" s="2">
        <f t="shared" si="85"/>
        <v>-0.43352149143016921</v>
      </c>
    </row>
    <row r="1103" spans="1:7" x14ac:dyDescent="0.25">
      <c r="A1103" s="18">
        <v>22</v>
      </c>
      <c r="B1103" s="2">
        <v>-1.7649999999999999E-2</v>
      </c>
      <c r="C1103" s="2">
        <f t="shared" si="86"/>
        <v>3.53</v>
      </c>
      <c r="D1103" s="2">
        <f t="shared" si="87"/>
        <v>1.5622876325917837E-2</v>
      </c>
      <c r="E1103" s="2">
        <f t="shared" si="89"/>
        <v>3.0392135371169315E-3</v>
      </c>
      <c r="F1103" s="2">
        <f t="shared" si="88"/>
        <v>-0.4510362897775389</v>
      </c>
      <c r="G1103" s="2">
        <f t="shared" si="85"/>
        <v>-0.4510362897775389</v>
      </c>
    </row>
    <row r="1104" spans="1:7" x14ac:dyDescent="0.25">
      <c r="A1104" s="18">
        <v>22.02</v>
      </c>
      <c r="B1104" s="2">
        <v>1.4300000000000001E-3</v>
      </c>
      <c r="C1104" s="2">
        <f t="shared" si="86"/>
        <v>-0.28600000000000003</v>
      </c>
      <c r="D1104" s="2">
        <f t="shared" si="87"/>
        <v>1.5390621754919433E-2</v>
      </c>
      <c r="E1104" s="2">
        <f t="shared" si="89"/>
        <v>-1.2960013771847172E-3</v>
      </c>
      <c r="F1104" s="2">
        <f t="shared" si="88"/>
        <v>-0.46314865264758703</v>
      </c>
      <c r="G1104" s="2">
        <f t="shared" si="85"/>
        <v>-0.46314865264758703</v>
      </c>
    </row>
    <row r="1105" spans="1:7" x14ac:dyDescent="0.25">
      <c r="A1105" s="18">
        <v>22.04</v>
      </c>
      <c r="B1105" s="2">
        <v>2.051E-2</v>
      </c>
      <c r="C1105" s="2">
        <f t="shared" si="86"/>
        <v>-4.1020000000000003</v>
      </c>
      <c r="D1105" s="2">
        <f t="shared" si="87"/>
        <v>1.4973107722861994E-2</v>
      </c>
      <c r="E1105" s="2">
        <f t="shared" si="89"/>
        <v>-5.8063642749601064E-3</v>
      </c>
      <c r="F1105" s="2">
        <f t="shared" si="88"/>
        <v>-0.46970323168586853</v>
      </c>
      <c r="G1105" s="2">
        <f t="shared" si="85"/>
        <v>-0.46970323168586853</v>
      </c>
    </row>
    <row r="1106" spans="1:7" x14ac:dyDescent="0.25">
      <c r="A1106" s="18">
        <v>22.06</v>
      </c>
      <c r="B1106" s="2">
        <v>3.9579999999999997E-2</v>
      </c>
      <c r="C1106" s="2">
        <f t="shared" si="86"/>
        <v>-7.9159999999999995</v>
      </c>
      <c r="D1106" s="2">
        <f t="shared" si="87"/>
        <v>1.4367712398130207E-2</v>
      </c>
      <c r="E1106" s="2">
        <f t="shared" si="89"/>
        <v>-1.0437850801435977E-2</v>
      </c>
      <c r="F1106" s="2">
        <f t="shared" si="88"/>
        <v>-0.47061137194390112</v>
      </c>
      <c r="G1106" s="2">
        <f t="shared" si="85"/>
        <v>-0.47061137194390112</v>
      </c>
    </row>
    <row r="1107" spans="1:7" x14ac:dyDescent="0.25">
      <c r="A1107" s="18">
        <v>22.08</v>
      </c>
      <c r="B1107" s="2">
        <v>5.8659999999999997E-2</v>
      </c>
      <c r="C1107" s="2">
        <f t="shared" si="86"/>
        <v>-11.731999999999999</v>
      </c>
      <c r="D1107" s="2">
        <f t="shared" si="87"/>
        <v>1.357407252462086E-2</v>
      </c>
      <c r="E1107" s="2">
        <f t="shared" si="89"/>
        <v>-1.5134883118294662E-2</v>
      </c>
      <c r="F1107" s="2">
        <f t="shared" si="88"/>
        <v>-0.46588217573862323</v>
      </c>
      <c r="G1107" s="2">
        <f t="shared" si="85"/>
        <v>-0.46588217573862323</v>
      </c>
    </row>
    <row r="1108" spans="1:7" x14ac:dyDescent="0.25">
      <c r="A1108" s="18">
        <v>22.1</v>
      </c>
      <c r="B1108" s="2">
        <v>3.5560000000000001E-2</v>
      </c>
      <c r="C1108" s="2">
        <f t="shared" si="86"/>
        <v>-7.1120000000000001</v>
      </c>
      <c r="D1108" s="2">
        <f t="shared" si="87"/>
        <v>1.2594079780816064E-2</v>
      </c>
      <c r="E1108" s="2">
        <f t="shared" si="89"/>
        <v>-1.9840996837733674E-2</v>
      </c>
      <c r="F1108" s="2">
        <f t="shared" si="88"/>
        <v>-0.41338239342447908</v>
      </c>
      <c r="G1108" s="2">
        <f t="shared" si="85"/>
        <v>-0.41338239342447908</v>
      </c>
    </row>
    <row r="1109" spans="1:7" x14ac:dyDescent="0.25">
      <c r="A1109" s="18">
        <v>22.12</v>
      </c>
      <c r="B1109" s="2">
        <v>1.2449999999999999E-2</v>
      </c>
      <c r="C1109" s="2">
        <f t="shared" si="86"/>
        <v>-2.4899999999999998</v>
      </c>
      <c r="D1109" s="2">
        <f t="shared" si="87"/>
        <v>1.1448734079641476E-2</v>
      </c>
      <c r="E1109" s="2">
        <f t="shared" si="89"/>
        <v>-2.4499818595119904E-2</v>
      </c>
      <c r="F1109" s="2">
        <f t="shared" si="88"/>
        <v>-0.35591202238924136</v>
      </c>
      <c r="G1109" s="2">
        <f t="shared" si="85"/>
        <v>-0.35591202238924136</v>
      </c>
    </row>
    <row r="1110" spans="1:7" x14ac:dyDescent="0.25">
      <c r="A1110" s="18">
        <v>22.14</v>
      </c>
      <c r="B1110" s="2">
        <v>-1.0659999999999999E-2</v>
      </c>
      <c r="C1110" s="2">
        <f t="shared" si="86"/>
        <v>2.1319999999999997</v>
      </c>
      <c r="D1110" s="2">
        <f t="shared" si="87"/>
        <v>1.0161023569511192E-2</v>
      </c>
      <c r="E1110" s="2">
        <f t="shared" si="89"/>
        <v>-2.8633642529364695E-2</v>
      </c>
      <c r="F1110" s="2">
        <f t="shared" si="88"/>
        <v>-0.29417070708533977</v>
      </c>
      <c r="G1110" s="2">
        <f t="shared" si="85"/>
        <v>-0.29417070708533977</v>
      </c>
    </row>
    <row r="1111" spans="1:7" x14ac:dyDescent="0.25">
      <c r="A1111" s="18">
        <v>22.16</v>
      </c>
      <c r="B1111" s="2">
        <v>-3.3759999999999998E-2</v>
      </c>
      <c r="C1111" s="2">
        <f t="shared" si="86"/>
        <v>6.7519999999999998</v>
      </c>
      <c r="D1111" s="2">
        <f t="shared" si="87"/>
        <v>8.7556447765467713E-3</v>
      </c>
      <c r="E1111" s="2">
        <f t="shared" si="89"/>
        <v>-3.2192762753257109E-2</v>
      </c>
      <c r="F1111" s="2">
        <f t="shared" si="88"/>
        <v>-0.2289093432964015</v>
      </c>
      <c r="G1111" s="2">
        <f t="shared" si="85"/>
        <v>-0.2289093432964015</v>
      </c>
    </row>
    <row r="1112" spans="1:7" x14ac:dyDescent="0.25">
      <c r="A1112" s="18">
        <v>22.18</v>
      </c>
      <c r="B1112" s="2">
        <v>-5.6869999999999997E-2</v>
      </c>
      <c r="C1112" s="2">
        <f t="shared" si="86"/>
        <v>11.373999999999999</v>
      </c>
      <c r="D1112" s="2">
        <f t="shared" si="87"/>
        <v>7.2587022462637903E-3</v>
      </c>
      <c r="E1112" s="2">
        <f t="shared" si="89"/>
        <v>-3.5134469824110511E-2</v>
      </c>
      <c r="F1112" s="2">
        <f t="shared" si="88"/>
        <v>-0.16089106738791362</v>
      </c>
      <c r="G1112" s="2">
        <f t="shared" si="85"/>
        <v>-0.16089106738791362</v>
      </c>
    </row>
    <row r="1113" spans="1:7" x14ac:dyDescent="0.25">
      <c r="A1113" s="18">
        <v>22.2</v>
      </c>
      <c r="B1113" s="2">
        <v>-4.5019999999999998E-2</v>
      </c>
      <c r="C1113" s="2">
        <f t="shared" si="86"/>
        <v>9.0039999999999996</v>
      </c>
      <c r="D1113" s="2">
        <f t="shared" si="87"/>
        <v>5.6974032890256439E-3</v>
      </c>
      <c r="E1113" s="2">
        <f t="shared" si="89"/>
        <v>-3.7423563257074521E-2</v>
      </c>
      <c r="F1113" s="2">
        <f t="shared" si="88"/>
        <v>-0.12590209867077315</v>
      </c>
      <c r="G1113" s="2">
        <f t="shared" si="85"/>
        <v>-0.12590209867077315</v>
      </c>
    </row>
    <row r="1114" spans="1:7" x14ac:dyDescent="0.25">
      <c r="A1114" s="18">
        <v>22.22</v>
      </c>
      <c r="B1114" s="2">
        <v>-3.3169999999999998E-2</v>
      </c>
      <c r="C1114" s="2">
        <f t="shared" si="86"/>
        <v>6.6339999999999995</v>
      </c>
      <c r="D1114" s="2">
        <f t="shared" si="87"/>
        <v>4.0857434923191882E-3</v>
      </c>
      <c r="E1114" s="2">
        <f t="shared" si="89"/>
        <v>-3.9032473930953659E-2</v>
      </c>
      <c r="F1114" s="2">
        <f t="shared" si="88"/>
        <v>-8.9402304769576474E-2</v>
      </c>
      <c r="G1114" s="2">
        <f t="shared" si="85"/>
        <v>-8.9402304769576474E-2</v>
      </c>
    </row>
    <row r="1115" spans="1:7" x14ac:dyDescent="0.25">
      <c r="A1115" s="18">
        <v>22.24</v>
      </c>
      <c r="B1115" s="2">
        <v>-2.1309999999999999E-2</v>
      </c>
      <c r="C1115" s="2">
        <f t="shared" si="86"/>
        <v>4.2619999999999996</v>
      </c>
      <c r="D1115" s="2">
        <f t="shared" si="87"/>
        <v>2.4383227737049019E-3</v>
      </c>
      <c r="E1115" s="2">
        <f t="shared" si="89"/>
        <v>-4.0291494917661388E-2</v>
      </c>
      <c r="F1115" s="2">
        <f t="shared" si="88"/>
        <v>-5.1839683211146646E-2</v>
      </c>
      <c r="G1115" s="2">
        <f t="shared" si="85"/>
        <v>-5.1839683211146646E-2</v>
      </c>
    </row>
    <row r="1116" spans="1:7" x14ac:dyDescent="0.25">
      <c r="A1116" s="18">
        <v>22.26</v>
      </c>
      <c r="B1116" s="2">
        <v>-9.4599999999999997E-3</v>
      </c>
      <c r="C1116" s="2">
        <f t="shared" si="86"/>
        <v>1.8919999999999999</v>
      </c>
      <c r="D1116" s="2">
        <f t="shared" si="87"/>
        <v>7.7016618180615701E-4</v>
      </c>
      <c r="E1116" s="2">
        <f t="shared" si="89"/>
        <v>-4.1185517965357153E-2</v>
      </c>
      <c r="F1116" s="2">
        <f t="shared" si="88"/>
        <v>-1.3644985454184718E-2</v>
      </c>
      <c r="G1116" s="2">
        <f t="shared" si="85"/>
        <v>-1.3644985454184718E-2</v>
      </c>
    </row>
    <row r="1117" spans="1:7" x14ac:dyDescent="0.25">
      <c r="A1117" s="18">
        <v>22.28</v>
      </c>
      <c r="B1117" s="2">
        <v>2.3900000000000002E-3</v>
      </c>
      <c r="C1117" s="2">
        <f t="shared" si="86"/>
        <v>-0.47800000000000004</v>
      </c>
      <c r="D1117" s="2">
        <f t="shared" si="87"/>
        <v>-9.034484042742618E-4</v>
      </c>
      <c r="E1117" s="2">
        <f t="shared" si="89"/>
        <v>-4.1703914797468621E-2</v>
      </c>
      <c r="F1117" s="2">
        <f t="shared" si="88"/>
        <v>2.4713452128229379E-2</v>
      </c>
      <c r="G1117" s="2">
        <f t="shared" si="85"/>
        <v>2.4713452128229379E-2</v>
      </c>
    </row>
    <row r="1118" spans="1:7" x14ac:dyDescent="0.25">
      <c r="A1118" s="18">
        <v>22.3</v>
      </c>
      <c r="B1118" s="2">
        <v>-2.0799999999999998E-3</v>
      </c>
      <c r="C1118" s="2">
        <f t="shared" si="86"/>
        <v>0.41599999999999998</v>
      </c>
      <c r="D1118" s="2">
        <f t="shared" si="87"/>
        <v>-2.5671776095033891E-3</v>
      </c>
      <c r="E1118" s="2">
        <f t="shared" si="89"/>
        <v>-4.1840364652010471E-2</v>
      </c>
      <c r="F1118" s="2">
        <f t="shared" si="88"/>
        <v>7.9095328285100006E-2</v>
      </c>
      <c r="G1118" s="2">
        <f t="shared" si="85"/>
        <v>7.9095328285100006E-2</v>
      </c>
    </row>
    <row r="1119" spans="1:7" x14ac:dyDescent="0.25">
      <c r="A1119" s="18">
        <v>22.32</v>
      </c>
      <c r="B1119" s="2">
        <v>-6.5399999999999998E-3</v>
      </c>
      <c r="C1119" s="2">
        <f t="shared" si="86"/>
        <v>1.3080000000000001</v>
      </c>
      <c r="D1119" s="2">
        <f t="shared" si="87"/>
        <v>-4.1992686834184762E-3</v>
      </c>
      <c r="E1119" s="2">
        <f t="shared" si="89"/>
        <v>-4.159323013072818E-2</v>
      </c>
      <c r="F1119" s="2">
        <f t="shared" si="88"/>
        <v>0.13251806050255335</v>
      </c>
      <c r="G1119" s="2">
        <f t="shared" si="85"/>
        <v>0.13251806050255335</v>
      </c>
    </row>
    <row r="1120" spans="1:7" x14ac:dyDescent="0.25">
      <c r="A1120" s="18">
        <v>22.34</v>
      </c>
      <c r="B1120" s="2">
        <v>-1.1010000000000001E-2</v>
      </c>
      <c r="C1120" s="2">
        <f t="shared" si="86"/>
        <v>2.202</v>
      </c>
      <c r="D1120" s="2">
        <f t="shared" si="87"/>
        <v>-5.7783525331325421E-3</v>
      </c>
      <c r="E1120" s="2">
        <f t="shared" si="89"/>
        <v>-4.0802276847877177E-2</v>
      </c>
      <c r="F1120" s="2">
        <f t="shared" si="88"/>
        <v>0.18436057599397404</v>
      </c>
      <c r="G1120" s="2">
        <f t="shared" si="85"/>
        <v>0.18436057599397404</v>
      </c>
    </row>
    <row r="1121" spans="1:7" x14ac:dyDescent="0.25">
      <c r="A1121" s="18">
        <v>22.36</v>
      </c>
      <c r="B1121" s="2">
        <v>-1.5480000000000001E-2</v>
      </c>
      <c r="C1121" s="2">
        <f t="shared" si="86"/>
        <v>3.0960000000000001</v>
      </c>
      <c r="D1121" s="2">
        <f t="shared" si="87"/>
        <v>-7.2836921524490183E-3</v>
      </c>
      <c r="E1121" s="2">
        <f t="shared" si="89"/>
        <v>-3.9477096242851645E-2</v>
      </c>
      <c r="F1121" s="2">
        <f t="shared" si="88"/>
        <v>0.23399076457346865</v>
      </c>
      <c r="G1121" s="2">
        <f t="shared" si="85"/>
        <v>0.23399076457346865</v>
      </c>
    </row>
    <row r="1122" spans="1:7" x14ac:dyDescent="0.25">
      <c r="A1122" s="18">
        <v>22.38</v>
      </c>
      <c r="B1122" s="2">
        <v>-1.2E-2</v>
      </c>
      <c r="C1122" s="2">
        <f t="shared" si="86"/>
        <v>2.4</v>
      </c>
      <c r="D1122" s="2">
        <f t="shared" si="87"/>
        <v>-8.695435465936107E-3</v>
      </c>
      <c r="E1122" s="2">
        <f t="shared" si="89"/>
        <v>-3.7633490482911904E-2</v>
      </c>
      <c r="F1122" s="2">
        <f t="shared" si="88"/>
        <v>0.2728630639780823</v>
      </c>
      <c r="G1122" s="2">
        <f t="shared" si="85"/>
        <v>0.2728630639780823</v>
      </c>
    </row>
    <row r="1123" spans="1:7" x14ac:dyDescent="0.25">
      <c r="A1123" s="18">
        <v>22.4</v>
      </c>
      <c r="B1123" s="2">
        <v>-8.5100000000000002E-3</v>
      </c>
      <c r="C1123" s="2">
        <f t="shared" si="86"/>
        <v>1.702</v>
      </c>
      <c r="D1123" s="2">
        <f t="shared" si="87"/>
        <v>-9.9980335538319628E-3</v>
      </c>
      <c r="E1123" s="2">
        <f t="shared" si="89"/>
        <v>-3.529358283717722E-2</v>
      </c>
      <c r="F1123" s="2">
        <f t="shared" si="88"/>
        <v>0.30845100661495894</v>
      </c>
      <c r="G1123" s="2">
        <f t="shared" si="85"/>
        <v>0.30845100661495894</v>
      </c>
    </row>
    <row r="1124" spans="1:7" x14ac:dyDescent="0.25">
      <c r="A1124" s="18">
        <v>22.42</v>
      </c>
      <c r="B1124" s="2">
        <v>-5.0299999999999997E-3</v>
      </c>
      <c r="C1124" s="2">
        <f t="shared" si="86"/>
        <v>1.006</v>
      </c>
      <c r="D1124" s="2">
        <f t="shared" si="87"/>
        <v>-1.1177251239081835E-2</v>
      </c>
      <c r="E1124" s="2">
        <f t="shared" si="89"/>
        <v>-3.2564952197396392E-2</v>
      </c>
      <c r="F1124" s="2">
        <f t="shared" si="88"/>
        <v>0.34034753717245358</v>
      </c>
      <c r="G1124" s="2">
        <f t="shared" si="85"/>
        <v>0.34034753717245358</v>
      </c>
    </row>
    <row r="1125" spans="1:7" x14ac:dyDescent="0.25">
      <c r="A1125" s="18">
        <v>22.44</v>
      </c>
      <c r="B1125" s="2">
        <v>-1.5399999999999999E-3</v>
      </c>
      <c r="C1125" s="2">
        <f t="shared" si="86"/>
        <v>0.308</v>
      </c>
      <c r="D1125" s="2">
        <f t="shared" si="87"/>
        <v>-1.2220329909462726E-2</v>
      </c>
      <c r="E1125" s="2">
        <f t="shared" si="89"/>
        <v>-2.9480442131246804E-2</v>
      </c>
      <c r="F1125" s="2">
        <f t="shared" si="88"/>
        <v>0.36814989728388686</v>
      </c>
      <c r="G1125" s="2">
        <f t="shared" si="85"/>
        <v>0.36814989728388686</v>
      </c>
    </row>
    <row r="1126" spans="1:7" x14ac:dyDescent="0.25">
      <c r="A1126" s="18">
        <v>22.46</v>
      </c>
      <c r="B1126" s="2">
        <v>1.9499999999999999E-3</v>
      </c>
      <c r="C1126" s="2">
        <f t="shared" si="86"/>
        <v>-0.38999999999999996</v>
      </c>
      <c r="D1126" s="2">
        <f t="shared" si="87"/>
        <v>-1.3116148620930062E-2</v>
      </c>
      <c r="E1126" s="2">
        <f t="shared" si="89"/>
        <v>-2.6076966759522268E-2</v>
      </c>
      <c r="F1126" s="2">
        <f t="shared" si="88"/>
        <v>0.39153445862789932</v>
      </c>
      <c r="G1126" s="2">
        <f t="shared" si="85"/>
        <v>0.39153445862789932</v>
      </c>
    </row>
    <row r="1127" spans="1:7" x14ac:dyDescent="0.25">
      <c r="A1127" s="18">
        <v>22.48</v>
      </c>
      <c r="B1127" s="2">
        <v>5.1000000000000004E-4</v>
      </c>
      <c r="C1127" s="2">
        <f t="shared" si="86"/>
        <v>-0.10200000000000001</v>
      </c>
      <c r="D1127" s="2">
        <f t="shared" si="87"/>
        <v>-1.3855353548946238E-2</v>
      </c>
      <c r="E1127" s="2">
        <f t="shared" si="89"/>
        <v>-2.2395467786683401E-2</v>
      </c>
      <c r="F1127" s="2">
        <f t="shared" si="88"/>
        <v>0.41515060646838026</v>
      </c>
      <c r="G1127" s="2">
        <f t="shared" si="85"/>
        <v>0.41515060646838026</v>
      </c>
    </row>
    <row r="1128" spans="1:7" x14ac:dyDescent="0.25">
      <c r="A1128" s="18">
        <v>22.5</v>
      </c>
      <c r="B1128" s="2">
        <v>-9.2000000000000003E-4</v>
      </c>
      <c r="C1128" s="2">
        <f t="shared" si="86"/>
        <v>0.184</v>
      </c>
      <c r="D1128" s="2">
        <f t="shared" si="87"/>
        <v>-1.4428498234375062E-2</v>
      </c>
      <c r="E1128" s="2">
        <f t="shared" si="89"/>
        <v>-1.8480123200404406E-2</v>
      </c>
      <c r="F1128" s="2">
        <f t="shared" si="88"/>
        <v>0.43377494703124642</v>
      </c>
      <c r="G1128" s="2">
        <f t="shared" si="85"/>
        <v>0.43377494703124642</v>
      </c>
    </row>
    <row r="1129" spans="1:7" x14ac:dyDescent="0.25">
      <c r="A1129" s="18">
        <v>22.52</v>
      </c>
      <c r="B1129" s="2">
        <v>1.1350000000000001E-2</v>
      </c>
      <c r="C1129" s="2">
        <f t="shared" si="86"/>
        <v>-2.27</v>
      </c>
      <c r="D1129" s="2">
        <f t="shared" si="87"/>
        <v>-1.4828132940991388E-2</v>
      </c>
      <c r="E1129" s="2">
        <f t="shared" si="89"/>
        <v>-1.4328617135720605E-2</v>
      </c>
      <c r="F1129" s="2">
        <f t="shared" si="88"/>
        <v>0.43349398822973162</v>
      </c>
      <c r="G1129" s="2">
        <f t="shared" si="85"/>
        <v>0.43349398822973162</v>
      </c>
    </row>
    <row r="1130" spans="1:7" x14ac:dyDescent="0.25">
      <c r="A1130" s="18">
        <v>22.54</v>
      </c>
      <c r="B1130" s="2">
        <v>2.3630000000000002E-2</v>
      </c>
      <c r="C1130" s="2">
        <f t="shared" si="86"/>
        <v>-4.726</v>
      </c>
      <c r="D1130" s="2">
        <f t="shared" si="87"/>
        <v>-1.5054370052315821E-2</v>
      </c>
      <c r="E1130" s="2">
        <f t="shared" si="89"/>
        <v>-9.9908676654081405E-3</v>
      </c>
      <c r="F1130" s="2">
        <f t="shared" si="88"/>
        <v>0.42800110156947752</v>
      </c>
      <c r="G1130" s="2">
        <f t="shared" si="85"/>
        <v>0.42800110156947752</v>
      </c>
    </row>
    <row r="1131" spans="1:7" x14ac:dyDescent="0.25">
      <c r="A1131" s="18">
        <v>22.56</v>
      </c>
      <c r="B1131" s="2">
        <v>3.5900000000000001E-2</v>
      </c>
      <c r="C1131" s="2">
        <f t="shared" si="86"/>
        <v>-7.1800000000000006</v>
      </c>
      <c r="D1131" s="2">
        <f t="shared" si="87"/>
        <v>-1.5109406723012463E-2</v>
      </c>
      <c r="E1131" s="2">
        <f t="shared" si="89"/>
        <v>-5.6559277831108243E-3</v>
      </c>
      <c r="F1131" s="2">
        <f t="shared" si="88"/>
        <v>0.41738220169037443</v>
      </c>
      <c r="G1131" s="2">
        <f t="shared" si="85"/>
        <v>0.41738220169037443</v>
      </c>
    </row>
    <row r="1132" spans="1:7" x14ac:dyDescent="0.25">
      <c r="A1132" s="18">
        <v>22.58</v>
      </c>
      <c r="B1132" s="2">
        <v>4.8180000000000001E-2</v>
      </c>
      <c r="C1132" s="2">
        <f t="shared" si="86"/>
        <v>-9.6359999999999992</v>
      </c>
      <c r="D1132" s="2">
        <f t="shared" si="87"/>
        <v>-1.4997490513032955E-2</v>
      </c>
      <c r="E1132" s="2">
        <f t="shared" si="89"/>
        <v>-1.3759167674160487E-3</v>
      </c>
      <c r="F1132" s="2">
        <f t="shared" si="88"/>
        <v>0.40174471539099021</v>
      </c>
      <c r="G1132" s="2">
        <f t="shared" si="85"/>
        <v>0.40174471539099021</v>
      </c>
    </row>
    <row r="1133" spans="1:7" x14ac:dyDescent="0.25">
      <c r="A1133" s="18">
        <v>22.6</v>
      </c>
      <c r="B1133" s="2">
        <v>6.0449999999999997E-2</v>
      </c>
      <c r="C1133" s="2">
        <f t="shared" si="86"/>
        <v>-12.09</v>
      </c>
      <c r="D1133" s="2">
        <f t="shared" si="87"/>
        <v>-1.4724876416897051E-2</v>
      </c>
      <c r="E1133" s="2">
        <f t="shared" si="89"/>
        <v>2.797905249487696E-3</v>
      </c>
      <c r="F1133" s="2">
        <f t="shared" si="88"/>
        <v>0.38129629250691077</v>
      </c>
      <c r="G1133" s="2">
        <f t="shared" si="85"/>
        <v>0.38129629250691077</v>
      </c>
    </row>
    <row r="1134" spans="1:7" x14ac:dyDescent="0.25">
      <c r="A1134" s="18">
        <v>22.62</v>
      </c>
      <c r="B1134" s="2">
        <v>7.2730000000000003E-2</v>
      </c>
      <c r="C1134" s="2">
        <f t="shared" si="86"/>
        <v>-14.546000000000001</v>
      </c>
      <c r="D1134" s="2">
        <f t="shared" si="87"/>
        <v>-1.4299743803758383E-2</v>
      </c>
      <c r="E1134" s="2">
        <f t="shared" si="89"/>
        <v>6.8153524033975985E-3</v>
      </c>
      <c r="F1134" s="2">
        <f t="shared" si="88"/>
        <v>0.35626231411275533</v>
      </c>
      <c r="G1134" s="2">
        <f t="shared" si="85"/>
        <v>0.35626231411275533</v>
      </c>
    </row>
    <row r="1135" spans="1:7" x14ac:dyDescent="0.25">
      <c r="A1135" s="18">
        <v>22.64</v>
      </c>
      <c r="B1135" s="2">
        <v>2.8469999999999999E-2</v>
      </c>
      <c r="C1135" s="2">
        <f t="shared" si="86"/>
        <v>-5.694</v>
      </c>
      <c r="D1135" s="2">
        <f t="shared" si="87"/>
        <v>-1.3732106264974613E-2</v>
      </c>
      <c r="E1135" s="2">
        <f t="shared" si="89"/>
        <v>1.0628315328466706E-2</v>
      </c>
      <c r="F1135" s="2">
        <f t="shared" si="88"/>
        <v>0.38349318794924508</v>
      </c>
      <c r="G1135" s="2">
        <f t="shared" si="85"/>
        <v>0.38349318794924508</v>
      </c>
    </row>
    <row r="1136" spans="1:7" x14ac:dyDescent="0.25">
      <c r="A1136" s="18">
        <v>22.66</v>
      </c>
      <c r="B1136" s="2">
        <v>-1.5789999999999998E-2</v>
      </c>
      <c r="C1136" s="2">
        <f t="shared" si="86"/>
        <v>3.1579999999999995</v>
      </c>
      <c r="D1136" s="2">
        <f t="shared" si="87"/>
        <v>-1.3011071451011144E-2</v>
      </c>
      <c r="E1136" s="2">
        <f t="shared" si="89"/>
        <v>1.4190938469594259E-2</v>
      </c>
      <c r="F1136" s="2">
        <f t="shared" si="88"/>
        <v>0.40612214353033349</v>
      </c>
      <c r="G1136" s="2">
        <f t="shared" si="85"/>
        <v>0.40612214353033349</v>
      </c>
    </row>
    <row r="1137" spans="1:7" x14ac:dyDescent="0.25">
      <c r="A1137" s="18">
        <v>22.68</v>
      </c>
      <c r="B1137" s="2">
        <v>-6.0040000000000003E-2</v>
      </c>
      <c r="C1137" s="2">
        <f t="shared" si="86"/>
        <v>12.008000000000001</v>
      </c>
      <c r="D1137" s="2">
        <f t="shared" si="87"/>
        <v>-1.2127587779635542E-2</v>
      </c>
      <c r="E1137" s="2">
        <f t="shared" si="89"/>
        <v>1.802587034908671E-2</v>
      </c>
      <c r="F1137" s="2">
        <f t="shared" si="88"/>
        <v>0.42386763338906996</v>
      </c>
      <c r="G1137" s="2">
        <f t="shared" si="85"/>
        <v>0.42386763338906996</v>
      </c>
    </row>
    <row r="1138" spans="1:7" x14ac:dyDescent="0.25">
      <c r="A1138" s="18">
        <v>22.7</v>
      </c>
      <c r="B1138" s="2">
        <v>-5.0689999999999999E-2</v>
      </c>
      <c r="C1138" s="2">
        <f t="shared" si="86"/>
        <v>10.138</v>
      </c>
      <c r="D1138" s="2">
        <f t="shared" si="87"/>
        <v>-1.1074557054904312E-2</v>
      </c>
      <c r="E1138" s="2">
        <f t="shared" si="89"/>
        <v>2.2087091784390046E-2</v>
      </c>
      <c r="F1138" s="2">
        <f t="shared" si="88"/>
        <v>0.38292671164712883</v>
      </c>
      <c r="G1138" s="2">
        <f t="shared" si="85"/>
        <v>0.38292671164712883</v>
      </c>
    </row>
    <row r="1139" spans="1:7" x14ac:dyDescent="0.25">
      <c r="A1139" s="18">
        <v>22.72</v>
      </c>
      <c r="B1139" s="2">
        <v>-4.1340000000000002E-2</v>
      </c>
      <c r="C1139" s="2">
        <f t="shared" si="86"/>
        <v>8.2680000000000007</v>
      </c>
      <c r="D1139" s="2">
        <f t="shared" si="87"/>
        <v>-9.8683556455142311E-3</v>
      </c>
      <c r="E1139" s="2">
        <f t="shared" si="89"/>
        <v>2.6325768118280746E-2</v>
      </c>
      <c r="F1139" s="2">
        <f t="shared" si="88"/>
        <v>0.33739066936543188</v>
      </c>
      <c r="G1139" s="2">
        <f t="shared" si="85"/>
        <v>0.33739066936543188</v>
      </c>
    </row>
    <row r="1140" spans="1:7" x14ac:dyDescent="0.25">
      <c r="A1140" s="18">
        <v>22.74</v>
      </c>
      <c r="B1140" s="2">
        <v>-3.1989999999999998E-2</v>
      </c>
      <c r="C1140" s="2">
        <f t="shared" si="86"/>
        <v>6.3979999999999997</v>
      </c>
      <c r="D1140" s="2">
        <f t="shared" si="87"/>
        <v>-8.527197968377977E-3</v>
      </c>
      <c r="E1140" s="2">
        <f t="shared" si="89"/>
        <v>3.0155035234752034E-2</v>
      </c>
      <c r="F1140" s="2">
        <f t="shared" si="88"/>
        <v>0.28780593905134005</v>
      </c>
      <c r="G1140" s="2">
        <f t="shared" si="85"/>
        <v>0.28780593905134005</v>
      </c>
    </row>
    <row r="1141" spans="1:7" x14ac:dyDescent="0.25">
      <c r="A1141" s="18">
        <v>22.76</v>
      </c>
      <c r="B1141" s="2">
        <v>-3.1350000000000003E-2</v>
      </c>
      <c r="C1141" s="2">
        <f t="shared" si="86"/>
        <v>6.2700000000000005</v>
      </c>
      <c r="D1141" s="2">
        <f t="shared" si="87"/>
        <v>-7.0709179156211869E-3</v>
      </c>
      <c r="E1141" s="2">
        <f t="shared" si="89"/>
        <v>3.3528941928406351E-2</v>
      </c>
      <c r="F1141" s="2">
        <f t="shared" si="88"/>
        <v>0.24347753746864051</v>
      </c>
      <c r="G1141" s="2">
        <f t="shared" si="85"/>
        <v>0.24347753746864051</v>
      </c>
    </row>
    <row r="1142" spans="1:7" x14ac:dyDescent="0.25">
      <c r="A1142" s="18">
        <v>22.78</v>
      </c>
      <c r="B1142" s="2">
        <v>-3.0710000000000001E-2</v>
      </c>
      <c r="C1142" s="2">
        <f t="shared" si="86"/>
        <v>6.1420000000000003</v>
      </c>
      <c r="D1142" s="2">
        <f t="shared" si="87"/>
        <v>-5.5172468478769405E-3</v>
      </c>
      <c r="E1142" s="2">
        <f t="shared" si="89"/>
        <v>3.6407001318919753E-2</v>
      </c>
      <c r="F1142" s="2">
        <f t="shared" si="88"/>
        <v>0.19622740543630604</v>
      </c>
      <c r="G1142" s="2">
        <f t="shared" si="85"/>
        <v>0.19622740543630604</v>
      </c>
    </row>
    <row r="1143" spans="1:7" x14ac:dyDescent="0.25">
      <c r="A1143" s="18">
        <v>22.8</v>
      </c>
      <c r="B1143" s="2">
        <v>-3.007E-2</v>
      </c>
      <c r="C1143" s="2">
        <f t="shared" si="86"/>
        <v>6.0140000000000002</v>
      </c>
      <c r="D1143" s="2">
        <f t="shared" si="87"/>
        <v>-3.8850848179581717E-3</v>
      </c>
      <c r="E1143" s="2">
        <f t="shared" si="89"/>
        <v>3.884177669360616E-2</v>
      </c>
      <c r="F1143" s="2">
        <f t="shared" si="88"/>
        <v>0.14662254453874557</v>
      </c>
      <c r="G1143" s="2">
        <f t="shared" si="85"/>
        <v>0.14662254453874557</v>
      </c>
    </row>
    <row r="1144" spans="1:7" x14ac:dyDescent="0.25">
      <c r="A1144" s="18">
        <v>22.82</v>
      </c>
      <c r="B1144" s="2">
        <v>-1.8630000000000001E-2</v>
      </c>
      <c r="C1144" s="2">
        <f t="shared" si="86"/>
        <v>3.726</v>
      </c>
      <c r="D1144" s="2">
        <f t="shared" si="87"/>
        <v>-2.1942737702239047E-3</v>
      </c>
      <c r="E1144" s="2">
        <f t="shared" si="89"/>
        <v>4.0804050747969216E-2</v>
      </c>
      <c r="F1144" s="2">
        <f t="shared" si="88"/>
        <v>8.4458213106718347E-2</v>
      </c>
      <c r="G1144" s="2">
        <f t="shared" si="85"/>
        <v>8.4458213106718347E-2</v>
      </c>
    </row>
    <row r="1145" spans="1:7" x14ac:dyDescent="0.25">
      <c r="A1145" s="18">
        <v>22.84</v>
      </c>
      <c r="B1145" s="2">
        <v>-7.1900000000000002E-3</v>
      </c>
      <c r="C1145" s="2">
        <f t="shared" si="86"/>
        <v>1.4379999999999999</v>
      </c>
      <c r="D1145" s="2">
        <f t="shared" si="87"/>
        <v>-4.6967943724695032E-4</v>
      </c>
      <c r="E1145" s="2">
        <f t="shared" si="89"/>
        <v>4.2270276193356673E-2</v>
      </c>
      <c r="F1145" s="2">
        <f t="shared" si="88"/>
        <v>2.1280383117408281E-2</v>
      </c>
      <c r="G1145" s="2">
        <f t="shared" si="85"/>
        <v>2.1280383117408281E-2</v>
      </c>
    </row>
    <row r="1146" spans="1:7" x14ac:dyDescent="0.25">
      <c r="A1146" s="18">
        <v>22.86</v>
      </c>
      <c r="B1146" s="2">
        <v>4.2500000000000003E-3</v>
      </c>
      <c r="C1146" s="2">
        <f t="shared" si="86"/>
        <v>-0.85000000000000009</v>
      </c>
      <c r="D1146" s="2">
        <f t="shared" si="87"/>
        <v>1.2634270489769674E-3</v>
      </c>
      <c r="E1146" s="2">
        <f t="shared" si="89"/>
        <v>4.3114858324423862E-2</v>
      </c>
      <c r="F1146" s="2">
        <f t="shared" si="88"/>
        <v>-4.2152811469308354E-2</v>
      </c>
      <c r="G1146" s="2">
        <f t="shared" si="85"/>
        <v>-4.2152811469308354E-2</v>
      </c>
    </row>
    <row r="1147" spans="1:7" x14ac:dyDescent="0.25">
      <c r="A1147" s="18">
        <v>22.88</v>
      </c>
      <c r="B1147" s="2">
        <v>1.5699999999999999E-2</v>
      </c>
      <c r="C1147" s="2">
        <f t="shared" si="86"/>
        <v>-3.1399999999999997</v>
      </c>
      <c r="D1147" s="2">
        <f t="shared" si="87"/>
        <v>2.9796724106131616E-3</v>
      </c>
      <c r="E1147" s="2">
        <f t="shared" si="89"/>
        <v>4.332766215559794E-2</v>
      </c>
      <c r="F1147" s="2">
        <f t="shared" si="88"/>
        <v>-0.10509017231839345</v>
      </c>
      <c r="G1147" s="2">
        <f t="shared" si="85"/>
        <v>-0.10509017231839345</v>
      </c>
    </row>
    <row r="1148" spans="1:7" x14ac:dyDescent="0.25">
      <c r="A1148" s="18">
        <v>22.9</v>
      </c>
      <c r="B1148" s="2">
        <v>2.7140000000000001E-2</v>
      </c>
      <c r="C1148" s="2">
        <f t="shared" si="86"/>
        <v>-5.4279999999999999</v>
      </c>
      <c r="D1148" s="2">
        <f t="shared" si="87"/>
        <v>4.6538817033219982E-3</v>
      </c>
      <c r="E1148" s="2">
        <f t="shared" si="89"/>
        <v>4.2906134040904854E-2</v>
      </c>
      <c r="F1148" s="2">
        <f t="shared" si="88"/>
        <v>-0.16675645109965728</v>
      </c>
      <c r="G1148" s="2">
        <f t="shared" si="85"/>
        <v>-0.16675645109965728</v>
      </c>
    </row>
    <row r="1149" spans="1:7" x14ac:dyDescent="0.25">
      <c r="A1149" s="18">
        <v>22.92</v>
      </c>
      <c r="B1149" s="2">
        <v>3.8580000000000003E-2</v>
      </c>
      <c r="C1149" s="2">
        <f t="shared" si="86"/>
        <v>-7.7160000000000011</v>
      </c>
      <c r="D1149" s="2">
        <f t="shared" si="87"/>
        <v>6.2613884155909719E-3</v>
      </c>
      <c r="E1149" s="2">
        <f t="shared" si="89"/>
        <v>4.1855232317720911E-2</v>
      </c>
      <c r="F1149" s="2">
        <f t="shared" si="88"/>
        <v>-0.22642165246773097</v>
      </c>
      <c r="G1149" s="2">
        <f t="shared" si="85"/>
        <v>-0.22642165246773097</v>
      </c>
    </row>
    <row r="1150" spans="1:7" x14ac:dyDescent="0.25">
      <c r="A1150" s="18">
        <v>22.94</v>
      </c>
      <c r="B1150" s="2">
        <v>2.9749999999999999E-2</v>
      </c>
      <c r="C1150" s="2">
        <f t="shared" si="86"/>
        <v>-5.9499999999999993</v>
      </c>
      <c r="D1150" s="2">
        <f t="shared" si="87"/>
        <v>7.7783264668728532E-3</v>
      </c>
      <c r="E1150" s="2">
        <f t="shared" si="89"/>
        <v>4.0187667806724343E-2</v>
      </c>
      <c r="F1150" s="2">
        <f t="shared" si="88"/>
        <v>-0.26309979400618733</v>
      </c>
      <c r="G1150" s="2">
        <f t="shared" si="85"/>
        <v>-0.26309979400618733</v>
      </c>
    </row>
    <row r="1151" spans="1:7" x14ac:dyDescent="0.25">
      <c r="A1151" s="18">
        <v>22.96</v>
      </c>
      <c r="B1151" s="2">
        <v>2.0920000000000001E-2</v>
      </c>
      <c r="C1151" s="2">
        <f t="shared" si="86"/>
        <v>-4.1840000000000002</v>
      </c>
      <c r="D1151" s="2">
        <f t="shared" si="87"/>
        <v>9.1900246005522605E-3</v>
      </c>
      <c r="E1151" s="2">
        <f t="shared" si="89"/>
        <v>3.7923451282047035E-2</v>
      </c>
      <c r="F1151" s="2">
        <f t="shared" si="88"/>
        <v>-0.29662073801656369</v>
      </c>
      <c r="G1151" s="2">
        <f t="shared" si="85"/>
        <v>-0.29662073801656369</v>
      </c>
    </row>
    <row r="1152" spans="1:7" x14ac:dyDescent="0.25">
      <c r="A1152" s="18">
        <v>22.98</v>
      </c>
      <c r="B1152" s="2">
        <v>2.334E-2</v>
      </c>
      <c r="C1152" s="2">
        <f t="shared" si="86"/>
        <v>-4.6680000000000001</v>
      </c>
      <c r="D1152" s="2">
        <f t="shared" si="87"/>
        <v>1.0483074439025042E-2</v>
      </c>
      <c r="E1152" s="2">
        <f t="shared" si="89"/>
        <v>3.5292453341985178E-2</v>
      </c>
      <c r="F1152" s="2">
        <f t="shared" si="88"/>
        <v>-0.33783223317074801</v>
      </c>
      <c r="G1152" s="2">
        <f t="shared" si="85"/>
        <v>-0.33783223317074801</v>
      </c>
    </row>
    <row r="1153" spans="1:7" x14ac:dyDescent="0.25">
      <c r="A1153" s="18">
        <v>23</v>
      </c>
      <c r="B1153" s="2">
        <v>2.5760000000000002E-2</v>
      </c>
      <c r="C1153" s="2">
        <f t="shared" si="86"/>
        <v>-5.1520000000000001</v>
      </c>
      <c r="D1153" s="2">
        <f t="shared" si="87"/>
        <v>1.1640991384229525E-2</v>
      </c>
      <c r="E1153" s="2">
        <f t="shared" si="89"/>
        <v>3.2326245961819544E-2</v>
      </c>
      <c r="F1153" s="2">
        <f t="shared" si="88"/>
        <v>-0.3749897415268903</v>
      </c>
      <c r="G1153" s="2">
        <f t="shared" si="85"/>
        <v>-0.3749897415268903</v>
      </c>
    </row>
    <row r="1154" spans="1:7" x14ac:dyDescent="0.25">
      <c r="A1154" s="18">
        <v>23.02</v>
      </c>
      <c r="B1154" s="2">
        <v>2.819E-2</v>
      </c>
      <c r="C1154" s="2">
        <f t="shared" si="86"/>
        <v>-5.6379999999999999</v>
      </c>
      <c r="D1154" s="2">
        <f t="shared" si="87"/>
        <v>1.2648912432823251E-2</v>
      </c>
      <c r="E1154" s="2">
        <f t="shared" si="89"/>
        <v>2.8947923630112064E-2</v>
      </c>
      <c r="F1154" s="2">
        <f t="shared" si="88"/>
        <v>-0.40765737298470006</v>
      </c>
      <c r="G1154" s="2">
        <f t="shared" ref="G1154:G1217" si="90">HLOOKUP($Y$3,$B$1:$F$1562,ROW(),0)</f>
        <v>-0.40765737298470006</v>
      </c>
    </row>
    <row r="1155" spans="1:7" x14ac:dyDescent="0.25">
      <c r="A1155" s="18">
        <v>23.04</v>
      </c>
      <c r="B1155" s="2">
        <v>3.0609999999999998E-2</v>
      </c>
      <c r="C1155" s="2">
        <f t="shared" ref="C1155:C1218" si="91">-$M$4*B1155</f>
        <v>-6.1219999999999999</v>
      </c>
      <c r="D1155" s="2">
        <f t="shared" si="87"/>
        <v>1.3493770532223098E-2</v>
      </c>
      <c r="E1155" s="2">
        <f t="shared" si="89"/>
        <v>2.5198026214843159E-2</v>
      </c>
      <c r="F1155" s="2">
        <f t="shared" si="88"/>
        <v>-0.43542311596668748</v>
      </c>
      <c r="G1155" s="2">
        <f t="shared" si="90"/>
        <v>-0.43542311596668748</v>
      </c>
    </row>
    <row r="1156" spans="1:7" x14ac:dyDescent="0.25">
      <c r="A1156" s="18">
        <v>23.06</v>
      </c>
      <c r="B1156" s="2">
        <v>3.304E-2</v>
      </c>
      <c r="C1156" s="2">
        <f t="shared" si="91"/>
        <v>-6.6079999999999997</v>
      </c>
      <c r="D1156" s="2">
        <f t="shared" ref="D1156:D1219" si="92">(C1155-($Q$6*D1155)-($Q$7*D1154))/$Q$5</f>
        <v>1.4164459385236269E-2</v>
      </c>
      <c r="E1156" s="2">
        <f t="shared" si="89"/>
        <v>2.112145248499616E-2</v>
      </c>
      <c r="F1156" s="2">
        <f t="shared" ref="F1156:F1219" si="93">(D1155-2*D1156+D1157)/($A$4^2)</f>
        <v>-0.45797378155708768</v>
      </c>
      <c r="G1156" s="2">
        <f t="shared" si="90"/>
        <v>-0.45797378155708768</v>
      </c>
    </row>
    <row r="1157" spans="1:7" x14ac:dyDescent="0.25">
      <c r="A1157" s="18">
        <v>23.08</v>
      </c>
      <c r="B1157" s="2">
        <v>1.371E-2</v>
      </c>
      <c r="C1157" s="2">
        <f t="shared" si="91"/>
        <v>-2.742</v>
      </c>
      <c r="D1157" s="2">
        <f t="shared" si="92"/>
        <v>1.4651958725626605E-2</v>
      </c>
      <c r="E1157" s="2">
        <f t="shared" ref="E1157:E1220" si="94">(D1156-D1155)/(2*$A$4)</f>
        <v>1.6767221325329283E-2</v>
      </c>
      <c r="F1157" s="2">
        <f t="shared" si="93"/>
        <v>-0.45326876176880226</v>
      </c>
      <c r="G1157" s="2">
        <f t="shared" si="90"/>
        <v>-0.45326876176880226</v>
      </c>
    </row>
    <row r="1158" spans="1:7" x14ac:dyDescent="0.25">
      <c r="A1158" s="18">
        <v>23.1</v>
      </c>
      <c r="B1158" s="2">
        <v>-5.6100000000000004E-3</v>
      </c>
      <c r="C1158" s="2">
        <f t="shared" si="91"/>
        <v>1.1220000000000001</v>
      </c>
      <c r="D1158" s="2">
        <f t="shared" si="92"/>
        <v>1.4958150561309421E-2</v>
      </c>
      <c r="E1158" s="2">
        <f t="shared" si="94"/>
        <v>1.2187483509758408E-2</v>
      </c>
      <c r="F1158" s="2">
        <f t="shared" si="93"/>
        <v>-0.4431345168392879</v>
      </c>
      <c r="G1158" s="2">
        <f t="shared" si="90"/>
        <v>-0.4431345168392879</v>
      </c>
    </row>
    <row r="1159" spans="1:7" x14ac:dyDescent="0.25">
      <c r="A1159" s="18">
        <v>23.12</v>
      </c>
      <c r="B1159" s="2">
        <v>-2.494E-2</v>
      </c>
      <c r="C1159" s="2">
        <f t="shared" si="91"/>
        <v>4.9880000000000004</v>
      </c>
      <c r="D1159" s="2">
        <f t="shared" si="92"/>
        <v>1.5087088590256521E-2</v>
      </c>
      <c r="E1159" s="2">
        <f t="shared" si="94"/>
        <v>7.6547958920703853E-3</v>
      </c>
      <c r="F1159" s="2">
        <f t="shared" si="93"/>
        <v>-0.42767265770770385</v>
      </c>
      <c r="G1159" s="2">
        <f t="shared" si="90"/>
        <v>-0.42767265770770385</v>
      </c>
    </row>
    <row r="1160" spans="1:7" x14ac:dyDescent="0.25">
      <c r="A1160" s="18">
        <v>23.14</v>
      </c>
      <c r="B1160" s="2">
        <v>-2.2079999999999999E-2</v>
      </c>
      <c r="C1160" s="2">
        <f t="shared" si="91"/>
        <v>4.4159999999999995</v>
      </c>
      <c r="D1160" s="2">
        <f t="shared" si="92"/>
        <v>1.504495755612054E-2</v>
      </c>
      <c r="E1160" s="2">
        <f t="shared" si="94"/>
        <v>3.223450723677506E-3</v>
      </c>
      <c r="F1160" s="2">
        <f t="shared" si="93"/>
        <v>-0.42926872668362037</v>
      </c>
      <c r="G1160" s="2">
        <f t="shared" si="90"/>
        <v>-0.42926872668362037</v>
      </c>
    </row>
    <row r="1161" spans="1:7" x14ac:dyDescent="0.25">
      <c r="A1161" s="18">
        <v>23.16</v>
      </c>
      <c r="B1161" s="2">
        <v>-1.9230000000000001E-2</v>
      </c>
      <c r="C1161" s="2">
        <f t="shared" si="91"/>
        <v>3.8460000000000001</v>
      </c>
      <c r="D1161" s="2">
        <f t="shared" si="92"/>
        <v>1.483111903131111E-2</v>
      </c>
      <c r="E1161" s="2">
        <f t="shared" si="94"/>
        <v>-1.0532758533995327E-3</v>
      </c>
      <c r="F1161" s="2">
        <f t="shared" si="93"/>
        <v>-0.42570357093933869</v>
      </c>
      <c r="G1161" s="2">
        <f t="shared" si="90"/>
        <v>-0.42570357093933869</v>
      </c>
    </row>
    <row r="1162" spans="1:7" x14ac:dyDescent="0.25">
      <c r="A1162" s="18">
        <v>23.18</v>
      </c>
      <c r="B1162" s="2">
        <v>-1.6379999999999999E-2</v>
      </c>
      <c r="C1162" s="2">
        <f t="shared" si="91"/>
        <v>3.2759999999999998</v>
      </c>
      <c r="D1162" s="2">
        <f t="shared" si="92"/>
        <v>1.4446999078125945E-2</v>
      </c>
      <c r="E1162" s="2">
        <f t="shared" si="94"/>
        <v>-5.3459631202357367E-3</v>
      </c>
      <c r="F1162" s="2">
        <f t="shared" si="93"/>
        <v>-0.4170299723437777</v>
      </c>
      <c r="G1162" s="2">
        <f t="shared" si="90"/>
        <v>-0.4170299723437777</v>
      </c>
    </row>
    <row r="1163" spans="1:7" x14ac:dyDescent="0.25">
      <c r="A1163" s="18">
        <v>23.2</v>
      </c>
      <c r="B1163" s="2">
        <v>-1.353E-2</v>
      </c>
      <c r="C1163" s="2">
        <f t="shared" si="91"/>
        <v>2.706</v>
      </c>
      <c r="D1163" s="2">
        <f t="shared" si="92"/>
        <v>1.3896067136003269E-2</v>
      </c>
      <c r="E1163" s="2">
        <f t="shared" si="94"/>
        <v>-9.6029988296291238E-3</v>
      </c>
      <c r="F1163" s="2">
        <f t="shared" si="93"/>
        <v>-0.40335201408009907</v>
      </c>
      <c r="G1163" s="2">
        <f t="shared" si="90"/>
        <v>-0.40335201408009907</v>
      </c>
    </row>
    <row r="1164" spans="1:7" x14ac:dyDescent="0.25">
      <c r="A1164" s="18">
        <v>23.22</v>
      </c>
      <c r="B1164" s="2">
        <v>-1.261E-2</v>
      </c>
      <c r="C1164" s="2">
        <f t="shared" si="91"/>
        <v>2.5219999999999998</v>
      </c>
      <c r="D1164" s="2">
        <f t="shared" si="92"/>
        <v>1.3183794388248554E-2</v>
      </c>
      <c r="E1164" s="2">
        <f t="shared" si="94"/>
        <v>-1.3773298553066901E-2</v>
      </c>
      <c r="F1164" s="2">
        <f t="shared" si="93"/>
        <v>-0.38290383164745007</v>
      </c>
      <c r="G1164" s="2">
        <f t="shared" si="90"/>
        <v>-0.38290383164745007</v>
      </c>
    </row>
    <row r="1165" spans="1:7" x14ac:dyDescent="0.25">
      <c r="A1165" s="18">
        <v>23.24</v>
      </c>
      <c r="B1165" s="2">
        <v>-1.17E-2</v>
      </c>
      <c r="C1165" s="2">
        <f t="shared" si="91"/>
        <v>2.34</v>
      </c>
      <c r="D1165" s="2">
        <f t="shared" si="92"/>
        <v>1.2318360107834858E-2</v>
      </c>
      <c r="E1165" s="2">
        <f t="shared" si="94"/>
        <v>-1.7806818693867892E-2</v>
      </c>
      <c r="F1165" s="2">
        <f t="shared" si="93"/>
        <v>-0.35785080323505208</v>
      </c>
      <c r="G1165" s="2">
        <f t="shared" si="90"/>
        <v>-0.35785080323505208</v>
      </c>
    </row>
    <row r="1166" spans="1:7" x14ac:dyDescent="0.25">
      <c r="A1166" s="18">
        <v>23.26</v>
      </c>
      <c r="B1166" s="2">
        <v>-1.6900000000000001E-3</v>
      </c>
      <c r="C1166" s="2">
        <f t="shared" si="91"/>
        <v>0.33800000000000002</v>
      </c>
      <c r="D1166" s="2">
        <f t="shared" si="92"/>
        <v>1.1309785506127141E-2</v>
      </c>
      <c r="E1166" s="2">
        <f t="shared" si="94"/>
        <v>-2.1635857010342392E-2</v>
      </c>
      <c r="F1166" s="2">
        <f t="shared" si="93"/>
        <v>-0.33760356518381524</v>
      </c>
      <c r="G1166" s="2">
        <f t="shared" si="90"/>
        <v>-0.33760356518381524</v>
      </c>
    </row>
    <row r="1167" spans="1:7" x14ac:dyDescent="0.25">
      <c r="A1167" s="18">
        <v>23.28</v>
      </c>
      <c r="B1167" s="2">
        <v>8.3300000000000006E-3</v>
      </c>
      <c r="C1167" s="2">
        <f t="shared" si="91"/>
        <v>-1.6660000000000001</v>
      </c>
      <c r="D1167" s="2">
        <f t="shared" si="92"/>
        <v>1.0166169478345899E-2</v>
      </c>
      <c r="E1167" s="2">
        <f t="shared" si="94"/>
        <v>-2.5214365042692914E-2</v>
      </c>
      <c r="F1167" s="2">
        <f t="shared" si="93"/>
        <v>-0.31331508435037886</v>
      </c>
      <c r="G1167" s="2">
        <f t="shared" si="90"/>
        <v>-0.31331508435037886</v>
      </c>
    </row>
    <row r="1168" spans="1:7" x14ac:dyDescent="0.25">
      <c r="A1168" s="18">
        <v>23.3</v>
      </c>
      <c r="B1168" s="2">
        <v>1.8339999999999999E-2</v>
      </c>
      <c r="C1168" s="2">
        <f t="shared" si="91"/>
        <v>-3.6679999999999997</v>
      </c>
      <c r="D1168" s="2">
        <f t="shared" si="92"/>
        <v>8.8972274168245043E-3</v>
      </c>
      <c r="E1168" s="2">
        <f t="shared" si="94"/>
        <v>-2.8590400694531067E-2</v>
      </c>
      <c r="F1168" s="2">
        <f t="shared" si="93"/>
        <v>-0.28525682250473727</v>
      </c>
      <c r="G1168" s="2">
        <f t="shared" si="90"/>
        <v>-0.28525682250473727</v>
      </c>
    </row>
    <row r="1169" spans="1:7" x14ac:dyDescent="0.25">
      <c r="A1169" s="18">
        <v>23.32</v>
      </c>
      <c r="B1169" s="2">
        <v>2.835E-2</v>
      </c>
      <c r="C1169" s="2">
        <f t="shared" si="91"/>
        <v>-5.67</v>
      </c>
      <c r="D1169" s="2">
        <f t="shared" si="92"/>
        <v>7.5141826263012152E-3</v>
      </c>
      <c r="E1169" s="2">
        <f t="shared" si="94"/>
        <v>-3.1723551538034855E-2</v>
      </c>
      <c r="F1169" s="2">
        <f t="shared" si="93"/>
        <v>-0.25377547878903739</v>
      </c>
      <c r="G1169" s="2">
        <f t="shared" si="90"/>
        <v>-0.25377547878903739</v>
      </c>
    </row>
    <row r="1170" spans="1:7" x14ac:dyDescent="0.25">
      <c r="A1170" s="18">
        <v>23.34</v>
      </c>
      <c r="B1170" s="2">
        <v>3.8359999999999998E-2</v>
      </c>
      <c r="C1170" s="2">
        <f t="shared" si="91"/>
        <v>-7.6719999999999997</v>
      </c>
      <c r="D1170" s="2">
        <f t="shared" si="92"/>
        <v>6.0296276442623111E-3</v>
      </c>
      <c r="E1170" s="2">
        <f t="shared" si="94"/>
        <v>-3.4576119763082225E-2</v>
      </c>
      <c r="F1170" s="2">
        <f t="shared" si="93"/>
        <v>-0.21924882932786766</v>
      </c>
      <c r="G1170" s="2">
        <f t="shared" si="90"/>
        <v>-0.21924882932786766</v>
      </c>
    </row>
    <row r="1171" spans="1:7" x14ac:dyDescent="0.25">
      <c r="A1171" s="18">
        <v>23.36</v>
      </c>
      <c r="B1171" s="2">
        <v>4.8379999999999999E-2</v>
      </c>
      <c r="C1171" s="2">
        <f t="shared" si="91"/>
        <v>-9.6760000000000002</v>
      </c>
      <c r="D1171" s="2">
        <f t="shared" si="92"/>
        <v>4.4573731304922599E-3</v>
      </c>
      <c r="E1171" s="2">
        <f t="shared" si="94"/>
        <v>-3.7113874550972599E-2</v>
      </c>
      <c r="F1171" s="2">
        <f t="shared" si="93"/>
        <v>-0.18210119391477123</v>
      </c>
      <c r="G1171" s="2">
        <f t="shared" si="90"/>
        <v>-0.18210119391477123</v>
      </c>
    </row>
    <row r="1172" spans="1:7" x14ac:dyDescent="0.25">
      <c r="A1172" s="18">
        <v>23.38</v>
      </c>
      <c r="B1172" s="2">
        <v>3.7490000000000002E-2</v>
      </c>
      <c r="C1172" s="2">
        <f t="shared" si="91"/>
        <v>-7.4980000000000002</v>
      </c>
      <c r="D1172" s="2">
        <f t="shared" si="92"/>
        <v>2.8122781391563003E-3</v>
      </c>
      <c r="E1172" s="2">
        <f t="shared" si="94"/>
        <v>-3.9306362844251277E-2</v>
      </c>
      <c r="F1172" s="2">
        <f t="shared" si="93"/>
        <v>-0.12185834417468937</v>
      </c>
      <c r="G1172" s="2">
        <f t="shared" si="90"/>
        <v>-0.12185834417468937</v>
      </c>
    </row>
    <row r="1173" spans="1:7" x14ac:dyDescent="0.25">
      <c r="A1173" s="18">
        <v>23.4</v>
      </c>
      <c r="B1173" s="2">
        <v>2.6599999999999999E-2</v>
      </c>
      <c r="C1173" s="2">
        <f t="shared" si="91"/>
        <v>-5.3199999999999994</v>
      </c>
      <c r="D1173" s="2">
        <f t="shared" si="92"/>
        <v>1.1184398101504649E-3</v>
      </c>
      <c r="E1173" s="2">
        <f t="shared" si="94"/>
        <v>-4.1127374783398993E-2</v>
      </c>
      <c r="F1173" s="2">
        <f t="shared" si="93"/>
        <v>-6.0153194304513304E-2</v>
      </c>
      <c r="G1173" s="2">
        <f t="shared" si="90"/>
        <v>-6.0153194304513304E-2</v>
      </c>
    </row>
    <row r="1174" spans="1:7" x14ac:dyDescent="0.25">
      <c r="A1174" s="18">
        <v>23.42</v>
      </c>
      <c r="B1174" s="2">
        <v>1.5709999999999998E-2</v>
      </c>
      <c r="C1174" s="2">
        <f t="shared" si="91"/>
        <v>-3.1419999999999995</v>
      </c>
      <c r="D1174" s="2">
        <f t="shared" si="92"/>
        <v>-5.9945979657717585E-4</v>
      </c>
      <c r="E1174" s="2">
        <f t="shared" si="94"/>
        <v>-4.2345958225145884E-2</v>
      </c>
      <c r="F1174" s="2">
        <f t="shared" si="93"/>
        <v>2.2737938973154109E-3</v>
      </c>
      <c r="G1174" s="2">
        <f t="shared" si="90"/>
        <v>2.2737938973154109E-3</v>
      </c>
    </row>
    <row r="1175" spans="1:7" x14ac:dyDescent="0.25">
      <c r="A1175" s="18">
        <v>23.44</v>
      </c>
      <c r="B1175" s="2">
        <v>4.8199999999999996E-3</v>
      </c>
      <c r="C1175" s="2">
        <f t="shared" si="91"/>
        <v>-0.96399999999999997</v>
      </c>
      <c r="D1175" s="2">
        <f t="shared" si="92"/>
        <v>-2.3164498857458902E-3</v>
      </c>
      <c r="E1175" s="2">
        <f t="shared" si="94"/>
        <v>-4.2947490168191015E-2</v>
      </c>
      <c r="F1175" s="2">
        <f t="shared" si="93"/>
        <v>6.4673496572376435E-2</v>
      </c>
      <c r="G1175" s="2">
        <f t="shared" si="90"/>
        <v>6.4673496572376435E-2</v>
      </c>
    </row>
    <row r="1176" spans="1:7" x14ac:dyDescent="0.25">
      <c r="A1176" s="18">
        <v>23.46</v>
      </c>
      <c r="B1176" s="2">
        <v>-6.0699999999999999E-3</v>
      </c>
      <c r="C1176" s="2">
        <f t="shared" si="91"/>
        <v>1.214</v>
      </c>
      <c r="D1176" s="2">
        <f t="shared" si="92"/>
        <v>-4.007570576285654E-3</v>
      </c>
      <c r="E1176" s="2">
        <f t="shared" si="94"/>
        <v>-4.2924752229217857E-2</v>
      </c>
      <c r="F1176" s="2">
        <f t="shared" si="93"/>
        <v>0.12629711728857168</v>
      </c>
      <c r="G1176" s="2">
        <f t="shared" si="90"/>
        <v>0.12629711728857168</v>
      </c>
    </row>
    <row r="1177" spans="1:7" x14ac:dyDescent="0.25">
      <c r="A1177" s="18">
        <v>23.48</v>
      </c>
      <c r="B1177" s="2">
        <v>-1.6959999999999999E-2</v>
      </c>
      <c r="C1177" s="2">
        <f t="shared" si="91"/>
        <v>3.3919999999999999</v>
      </c>
      <c r="D1177" s="2">
        <f t="shared" si="92"/>
        <v>-5.6481724199099895E-3</v>
      </c>
      <c r="E1177" s="2">
        <f t="shared" si="94"/>
        <v>-4.2278017263494096E-2</v>
      </c>
      <c r="F1177" s="2">
        <f t="shared" si="93"/>
        <v>0.18640517259729947</v>
      </c>
      <c r="G1177" s="2">
        <f t="shared" si="90"/>
        <v>0.18640517259729947</v>
      </c>
    </row>
    <row r="1178" spans="1:7" x14ac:dyDescent="0.25">
      <c r="A1178" s="18">
        <v>23.5</v>
      </c>
      <c r="B1178" s="2">
        <v>-7.7999999999999996E-3</v>
      </c>
      <c r="C1178" s="2">
        <f t="shared" si="91"/>
        <v>1.5599999999999998</v>
      </c>
      <c r="D1178" s="2">
        <f t="shared" si="92"/>
        <v>-7.2142121944954053E-3</v>
      </c>
      <c r="E1178" s="2">
        <f t="shared" si="94"/>
        <v>-4.1015046090608388E-2</v>
      </c>
      <c r="F1178" s="2">
        <f t="shared" si="93"/>
        <v>0.22422636583487118</v>
      </c>
      <c r="G1178" s="2">
        <f t="shared" si="90"/>
        <v>0.22422636583487118</v>
      </c>
    </row>
    <row r="1179" spans="1:7" x14ac:dyDescent="0.25">
      <c r="A1179" s="18">
        <v>23.52</v>
      </c>
      <c r="B1179" s="2">
        <v>1.3600000000000001E-3</v>
      </c>
      <c r="C1179" s="2">
        <f t="shared" si="91"/>
        <v>-0.27200000000000002</v>
      </c>
      <c r="D1179" s="2">
        <f t="shared" si="92"/>
        <v>-8.6905614227468734E-3</v>
      </c>
      <c r="E1179" s="2">
        <f t="shared" si="94"/>
        <v>-3.9150994364635393E-2</v>
      </c>
      <c r="F1179" s="2">
        <f t="shared" si="93"/>
        <v>0.25935684268240528</v>
      </c>
      <c r="G1179" s="2">
        <f t="shared" si="90"/>
        <v>0.25935684268240528</v>
      </c>
    </row>
    <row r="1180" spans="1:7" x14ac:dyDescent="0.25">
      <c r="A1180" s="18">
        <v>23.54</v>
      </c>
      <c r="B1180" s="2">
        <v>1.052E-2</v>
      </c>
      <c r="C1180" s="2">
        <f t="shared" si="91"/>
        <v>-2.1040000000000001</v>
      </c>
      <c r="D1180" s="2">
        <f t="shared" si="92"/>
        <v>-1.0063167913925379E-2</v>
      </c>
      <c r="E1180" s="2">
        <f t="shared" si="94"/>
        <v>-3.6908730706286703E-2</v>
      </c>
      <c r="F1180" s="2">
        <f t="shared" si="93"/>
        <v>0.29137503741776849</v>
      </c>
      <c r="G1180" s="2">
        <f t="shared" si="90"/>
        <v>0.29137503741776849</v>
      </c>
    </row>
    <row r="1181" spans="1:7" x14ac:dyDescent="0.25">
      <c r="A1181" s="18">
        <v>23.56</v>
      </c>
      <c r="B1181" s="2">
        <v>1.968E-2</v>
      </c>
      <c r="C1181" s="2">
        <f t="shared" si="91"/>
        <v>-3.9359999999999999</v>
      </c>
      <c r="D1181" s="2">
        <f t="shared" si="92"/>
        <v>-1.1319224390136778E-2</v>
      </c>
      <c r="E1181" s="2">
        <f t="shared" si="94"/>
        <v>-3.4315162279462651E-2</v>
      </c>
      <c r="F1181" s="2">
        <f t="shared" si="93"/>
        <v>0.31989673170410099</v>
      </c>
      <c r="G1181" s="2">
        <f t="shared" si="90"/>
        <v>0.31989673170410099</v>
      </c>
    </row>
    <row r="1182" spans="1:7" x14ac:dyDescent="0.25">
      <c r="A1182" s="18">
        <v>23.58</v>
      </c>
      <c r="B1182" s="2">
        <v>2.8840000000000001E-2</v>
      </c>
      <c r="C1182" s="2">
        <f t="shared" si="91"/>
        <v>-5.7679999999999998</v>
      </c>
      <c r="D1182" s="2">
        <f t="shared" si="92"/>
        <v>-1.2447322173666536E-2</v>
      </c>
      <c r="E1182" s="2">
        <f t="shared" si="94"/>
        <v>-3.1401411905284962E-2</v>
      </c>
      <c r="F1182" s="2">
        <f t="shared" si="93"/>
        <v>0.34457966520999406</v>
      </c>
      <c r="G1182" s="2">
        <f t="shared" si="90"/>
        <v>0.34457966520999406</v>
      </c>
    </row>
    <row r="1183" spans="1:7" x14ac:dyDescent="0.25">
      <c r="A1183" s="18">
        <v>23.6</v>
      </c>
      <c r="B1183" s="2">
        <v>-5.0400000000000002E-3</v>
      </c>
      <c r="C1183" s="2">
        <f t="shared" si="91"/>
        <v>1.008</v>
      </c>
      <c r="D1183" s="2">
        <f t="shared" si="92"/>
        <v>-1.3437588091112297E-2</v>
      </c>
      <c r="E1183" s="2">
        <f t="shared" si="94"/>
        <v>-2.8202444588243954E-2</v>
      </c>
      <c r="F1183" s="2">
        <f t="shared" si="93"/>
        <v>0.40816764273336831</v>
      </c>
      <c r="G1183" s="2">
        <f t="shared" si="90"/>
        <v>0.40816764273336831</v>
      </c>
    </row>
    <row r="1184" spans="1:7" x14ac:dyDescent="0.25">
      <c r="A1184" s="18">
        <v>23.62</v>
      </c>
      <c r="B1184" s="2">
        <v>-3.8929999999999999E-2</v>
      </c>
      <c r="C1184" s="2">
        <f t="shared" si="91"/>
        <v>7.7859999999999996</v>
      </c>
      <c r="D1184" s="2">
        <f t="shared" si="92"/>
        <v>-1.426458695146471E-2</v>
      </c>
      <c r="E1184" s="2">
        <f t="shared" si="94"/>
        <v>-2.4756647936144013E-2</v>
      </c>
      <c r="F1184" s="2">
        <f t="shared" si="93"/>
        <v>0.46686760854394022</v>
      </c>
      <c r="G1184" s="2">
        <f t="shared" si="90"/>
        <v>0.46686760854394022</v>
      </c>
    </row>
    <row r="1185" spans="1:7" x14ac:dyDescent="0.25">
      <c r="A1185" s="18">
        <v>23.64</v>
      </c>
      <c r="B1185" s="2">
        <v>-2.342E-2</v>
      </c>
      <c r="C1185" s="2">
        <f t="shared" si="91"/>
        <v>4.6840000000000002</v>
      </c>
      <c r="D1185" s="2">
        <f t="shared" si="92"/>
        <v>-1.4904838768399547E-2</v>
      </c>
      <c r="E1185" s="2">
        <f t="shared" si="94"/>
        <v>-2.0674971508810331E-2</v>
      </c>
      <c r="F1185" s="2">
        <f t="shared" si="93"/>
        <v>0.47056516305198426</v>
      </c>
      <c r="G1185" s="2">
        <f t="shared" si="90"/>
        <v>0.47056516305198426</v>
      </c>
    </row>
    <row r="1186" spans="1:7" x14ac:dyDescent="0.25">
      <c r="A1186" s="18">
        <v>23.66</v>
      </c>
      <c r="B1186" s="2">
        <v>-7.9100000000000004E-3</v>
      </c>
      <c r="C1186" s="2">
        <f t="shared" si="91"/>
        <v>1.5820000000000001</v>
      </c>
      <c r="D1186" s="2">
        <f t="shared" si="92"/>
        <v>-1.5356864520113591E-2</v>
      </c>
      <c r="E1186" s="2">
        <f t="shared" si="94"/>
        <v>-1.6006295423370929E-2</v>
      </c>
      <c r="F1186" s="2">
        <f t="shared" si="93"/>
        <v>0.46861593560341536</v>
      </c>
      <c r="G1186" s="2">
        <f t="shared" si="90"/>
        <v>0.46861593560341536</v>
      </c>
    </row>
    <row r="1187" spans="1:7" x14ac:dyDescent="0.25">
      <c r="A1187" s="18">
        <v>23.68</v>
      </c>
      <c r="B1187" s="2">
        <v>7.5900000000000004E-3</v>
      </c>
      <c r="C1187" s="2">
        <f t="shared" si="91"/>
        <v>-1.518</v>
      </c>
      <c r="D1187" s="2">
        <f t="shared" si="92"/>
        <v>-1.562144389758627E-2</v>
      </c>
      <c r="E1187" s="2">
        <f t="shared" si="94"/>
        <v>-1.1300643792851086E-2</v>
      </c>
      <c r="F1187" s="2">
        <f t="shared" si="93"/>
        <v>0.46105331692758605</v>
      </c>
      <c r="G1187" s="2">
        <f t="shared" si="90"/>
        <v>0.46105331692758605</v>
      </c>
    </row>
    <row r="1188" spans="1:7" x14ac:dyDescent="0.25">
      <c r="A1188" s="18">
        <v>23.7</v>
      </c>
      <c r="B1188" s="2">
        <v>2.3099999999999999E-2</v>
      </c>
      <c r="C1188" s="2">
        <f t="shared" si="91"/>
        <v>-4.62</v>
      </c>
      <c r="D1188" s="2">
        <f t="shared" si="92"/>
        <v>-1.5701601948287913E-2</v>
      </c>
      <c r="E1188" s="2">
        <f t="shared" si="94"/>
        <v>-6.6144844368169753E-3</v>
      </c>
      <c r="F1188" s="2">
        <f t="shared" si="93"/>
        <v>0.44794805844864272</v>
      </c>
      <c r="G1188" s="2">
        <f t="shared" si="90"/>
        <v>0.44794805844864272</v>
      </c>
    </row>
    <row r="1189" spans="1:7" x14ac:dyDescent="0.25">
      <c r="A1189" s="18">
        <v>23.72</v>
      </c>
      <c r="B1189" s="2">
        <v>7.0699999999999999E-3</v>
      </c>
      <c r="C1189" s="2">
        <f t="shared" si="91"/>
        <v>-1.4139999999999999</v>
      </c>
      <c r="D1189" s="2">
        <f t="shared" si="92"/>
        <v>-1.56025807756101E-2</v>
      </c>
      <c r="E1189" s="2">
        <f t="shared" si="94"/>
        <v>-2.0039512675410712E-3</v>
      </c>
      <c r="F1189" s="2">
        <f t="shared" si="93"/>
        <v>0.46100742326830085</v>
      </c>
      <c r="G1189" s="2">
        <f t="shared" si="90"/>
        <v>0.46100742326830085</v>
      </c>
    </row>
    <row r="1190" spans="1:7" x14ac:dyDescent="0.25">
      <c r="A1190" s="18">
        <v>23.74</v>
      </c>
      <c r="B1190" s="2">
        <v>-8.9499999999999996E-3</v>
      </c>
      <c r="C1190" s="2">
        <f t="shared" si="91"/>
        <v>1.79</v>
      </c>
      <c r="D1190" s="2">
        <f t="shared" si="92"/>
        <v>-1.5319156633624967E-2</v>
      </c>
      <c r="E1190" s="2">
        <f t="shared" si="94"/>
        <v>2.4755293169453126E-3</v>
      </c>
      <c r="F1190" s="2">
        <f t="shared" si="93"/>
        <v>0.4685246990087516</v>
      </c>
      <c r="G1190" s="2">
        <f t="shared" si="90"/>
        <v>0.4685246990087516</v>
      </c>
    </row>
    <row r="1191" spans="1:7" x14ac:dyDescent="0.25">
      <c r="A1191" s="18">
        <v>23.76</v>
      </c>
      <c r="B1191" s="2">
        <v>-2.4979999999999999E-2</v>
      </c>
      <c r="C1191" s="2">
        <f t="shared" si="91"/>
        <v>4.9959999999999996</v>
      </c>
      <c r="D1191" s="2">
        <f t="shared" si="92"/>
        <v>-1.4848322612036334E-2</v>
      </c>
      <c r="E1191" s="2">
        <f t="shared" si="94"/>
        <v>7.0856035496283214E-3</v>
      </c>
      <c r="F1191" s="2">
        <f t="shared" si="93"/>
        <v>0.47042967836108307</v>
      </c>
      <c r="G1191" s="2">
        <f t="shared" si="90"/>
        <v>0.47042967836108307</v>
      </c>
    </row>
    <row r="1192" spans="1:7" x14ac:dyDescent="0.25">
      <c r="A1192" s="18">
        <v>23.78</v>
      </c>
      <c r="B1192" s="2">
        <v>-4.1000000000000002E-2</v>
      </c>
      <c r="C1192" s="2">
        <f t="shared" si="91"/>
        <v>8.2000000000000011</v>
      </c>
      <c r="D1192" s="2">
        <f t="shared" si="92"/>
        <v>-1.4189316719103267E-2</v>
      </c>
      <c r="E1192" s="2">
        <f t="shared" si="94"/>
        <v>1.1770850539715837E-2</v>
      </c>
      <c r="F1192" s="2">
        <f t="shared" si="93"/>
        <v>0.46667950157310267</v>
      </c>
      <c r="G1192" s="2">
        <f t="shared" si="90"/>
        <v>0.46667950157310267</v>
      </c>
    </row>
    <row r="1193" spans="1:7" x14ac:dyDescent="0.25">
      <c r="A1193" s="18">
        <v>23.8</v>
      </c>
      <c r="B1193" s="2">
        <v>-5.7029999999999997E-2</v>
      </c>
      <c r="C1193" s="2">
        <f t="shared" si="91"/>
        <v>11.405999999999999</v>
      </c>
      <c r="D1193" s="2">
        <f t="shared" si="92"/>
        <v>-1.3343639025540959E-2</v>
      </c>
      <c r="E1193" s="2">
        <f t="shared" si="94"/>
        <v>1.6475147323326667E-2</v>
      </c>
      <c r="F1193" s="2">
        <f t="shared" si="93"/>
        <v>0.45733917076622599</v>
      </c>
      <c r="G1193" s="2">
        <f t="shared" si="90"/>
        <v>0.45733917076622599</v>
      </c>
    </row>
    <row r="1194" spans="1:7" x14ac:dyDescent="0.25">
      <c r="A1194" s="18">
        <v>23.82</v>
      </c>
      <c r="B1194" s="2">
        <v>-2.92E-2</v>
      </c>
      <c r="C1194" s="2">
        <f t="shared" si="91"/>
        <v>5.84</v>
      </c>
      <c r="D1194" s="2">
        <f t="shared" si="92"/>
        <v>-1.2315025663672161E-2</v>
      </c>
      <c r="E1194" s="2">
        <f t="shared" si="94"/>
        <v>2.1141942339057695E-2</v>
      </c>
      <c r="F1194" s="2">
        <f t="shared" si="93"/>
        <v>0.39865076991016463</v>
      </c>
      <c r="G1194" s="2">
        <f t="shared" si="90"/>
        <v>0.39865076991016463</v>
      </c>
    </row>
    <row r="1195" spans="1:7" x14ac:dyDescent="0.25">
      <c r="A1195" s="18">
        <v>23.84</v>
      </c>
      <c r="B1195" s="2">
        <v>-1.3699999999999999E-3</v>
      </c>
      <c r="C1195" s="2">
        <f t="shared" si="91"/>
        <v>0.27399999999999997</v>
      </c>
      <c r="D1195" s="2">
        <f t="shared" si="92"/>
        <v>-1.1126951993839297E-2</v>
      </c>
      <c r="E1195" s="2">
        <f t="shared" si="94"/>
        <v>2.5715334046719954E-2</v>
      </c>
      <c r="F1195" s="2">
        <f t="shared" si="93"/>
        <v>0.33517855981517702</v>
      </c>
      <c r="G1195" s="2">
        <f t="shared" si="90"/>
        <v>0.33517855981517702</v>
      </c>
    </row>
    <row r="1196" spans="1:7" x14ac:dyDescent="0.25">
      <c r="A1196" s="18">
        <v>23.86</v>
      </c>
      <c r="B1196" s="2">
        <v>2.6450000000000001E-2</v>
      </c>
      <c r="C1196" s="2">
        <f t="shared" si="91"/>
        <v>-5.29</v>
      </c>
      <c r="D1196" s="2">
        <f t="shared" si="92"/>
        <v>-9.8048069000803619E-3</v>
      </c>
      <c r="E1196" s="2">
        <f t="shared" si="94"/>
        <v>2.9701841745821602E-2</v>
      </c>
      <c r="F1196" s="2">
        <f t="shared" si="93"/>
        <v>0.26769420700240104</v>
      </c>
      <c r="G1196" s="2">
        <f t="shared" si="90"/>
        <v>0.26769420700240104</v>
      </c>
    </row>
    <row r="1197" spans="1:7" x14ac:dyDescent="0.25">
      <c r="A1197" s="18">
        <v>23.88</v>
      </c>
      <c r="B1197" s="2">
        <v>5.4280000000000002E-2</v>
      </c>
      <c r="C1197" s="2">
        <f t="shared" si="91"/>
        <v>-10.856</v>
      </c>
      <c r="D1197" s="2">
        <f t="shared" si="92"/>
        <v>-8.3755841235204666E-3</v>
      </c>
      <c r="E1197" s="2">
        <f t="shared" si="94"/>
        <v>3.3053627343973373E-2</v>
      </c>
      <c r="F1197" s="2">
        <f t="shared" si="93"/>
        <v>0.19698752370561534</v>
      </c>
      <c r="G1197" s="2">
        <f t="shared" si="90"/>
        <v>0.19698752370561534</v>
      </c>
    </row>
    <row r="1198" spans="1:7" x14ac:dyDescent="0.25">
      <c r="A1198" s="18">
        <v>23.9</v>
      </c>
      <c r="B1198" s="2">
        <v>3.5869999999999999E-2</v>
      </c>
      <c r="C1198" s="2">
        <f t="shared" si="91"/>
        <v>-7.1739999999999995</v>
      </c>
      <c r="D1198" s="2">
        <f t="shared" si="92"/>
        <v>-6.8675663374783251E-3</v>
      </c>
      <c r="E1198" s="2">
        <f t="shared" si="94"/>
        <v>3.5730569413997382E-2</v>
      </c>
      <c r="F1198" s="2">
        <f t="shared" si="93"/>
        <v>0.17015699012434957</v>
      </c>
      <c r="G1198" s="2">
        <f t="shared" si="90"/>
        <v>0.17015699012434957</v>
      </c>
    </row>
    <row r="1199" spans="1:7" x14ac:dyDescent="0.25">
      <c r="A1199" s="18">
        <v>23.92</v>
      </c>
      <c r="B1199" s="2">
        <v>1.746E-2</v>
      </c>
      <c r="C1199" s="2">
        <f t="shared" si="91"/>
        <v>-3.492</v>
      </c>
      <c r="D1199" s="2">
        <f t="shared" si="92"/>
        <v>-5.2914857553864438E-3</v>
      </c>
      <c r="E1199" s="2">
        <f t="shared" si="94"/>
        <v>3.7700444651053537E-2</v>
      </c>
      <c r="F1199" s="2">
        <f t="shared" si="93"/>
        <v>0.14128457266159261</v>
      </c>
      <c r="G1199" s="2">
        <f t="shared" si="90"/>
        <v>0.14128457266159261</v>
      </c>
    </row>
    <row r="1200" spans="1:7" x14ac:dyDescent="0.25">
      <c r="A1200" s="18">
        <v>23.94</v>
      </c>
      <c r="B1200" s="2">
        <v>-9.6000000000000002E-4</v>
      </c>
      <c r="C1200" s="2">
        <f t="shared" si="91"/>
        <v>0.192</v>
      </c>
      <c r="D1200" s="2">
        <f t="shared" si="92"/>
        <v>-3.6588913442299254E-3</v>
      </c>
      <c r="E1200" s="2">
        <f t="shared" si="94"/>
        <v>3.9402014552297034E-2</v>
      </c>
      <c r="F1200" s="2">
        <f t="shared" si="93"/>
        <v>0.11072674032689787</v>
      </c>
      <c r="G1200" s="2">
        <f t="shared" si="90"/>
        <v>0.11072674032689787</v>
      </c>
    </row>
    <row r="1201" spans="1:7" x14ac:dyDescent="0.25">
      <c r="A1201" s="18">
        <v>23.96</v>
      </c>
      <c r="B1201" s="2">
        <v>-1.9369999999999998E-2</v>
      </c>
      <c r="C1201" s="2">
        <f t="shared" si="91"/>
        <v>3.8739999999999997</v>
      </c>
      <c r="D1201" s="2">
        <f t="shared" si="92"/>
        <v>-1.9820062369426479E-3</v>
      </c>
      <c r="E1201" s="2">
        <f t="shared" si="94"/>
        <v>4.0814860278912957E-2</v>
      </c>
      <c r="F1201" s="2">
        <f t="shared" si="93"/>
        <v>7.8830187108279229E-2</v>
      </c>
      <c r="G1201" s="2">
        <f t="shared" si="90"/>
        <v>7.8830187108279229E-2</v>
      </c>
    </row>
    <row r="1202" spans="1:7" x14ac:dyDescent="0.25">
      <c r="A1202" s="18">
        <v>23.98</v>
      </c>
      <c r="B1202" s="2">
        <v>-3.7780000000000001E-2</v>
      </c>
      <c r="C1202" s="2">
        <f t="shared" si="91"/>
        <v>7.556</v>
      </c>
      <c r="D1202" s="2">
        <f t="shared" si="92"/>
        <v>-2.7358905481205873E-4</v>
      </c>
      <c r="E1202" s="2">
        <f t="shared" si="94"/>
        <v>4.1922127682181939E-2</v>
      </c>
      <c r="F1202" s="2">
        <f t="shared" si="93"/>
        <v>4.5987671644362238E-2</v>
      </c>
      <c r="G1202" s="2">
        <f t="shared" si="90"/>
        <v>4.5987671644362238E-2</v>
      </c>
    </row>
    <row r="1203" spans="1:7" x14ac:dyDescent="0.25">
      <c r="A1203" s="18">
        <v>24</v>
      </c>
      <c r="B1203" s="2">
        <v>-2.281E-2</v>
      </c>
      <c r="C1203" s="2">
        <f t="shared" si="91"/>
        <v>4.5620000000000003</v>
      </c>
      <c r="D1203" s="2">
        <f t="shared" si="92"/>
        <v>1.4532231959762754E-3</v>
      </c>
      <c r="E1203" s="2">
        <f t="shared" si="94"/>
        <v>4.2710429553264727E-2</v>
      </c>
      <c r="F1203" s="2">
        <f t="shared" si="93"/>
        <v>-2.0786695879289156E-2</v>
      </c>
      <c r="G1203" s="2">
        <f t="shared" si="90"/>
        <v>-2.0786695879289156E-2</v>
      </c>
    </row>
    <row r="1204" spans="1:7" x14ac:dyDescent="0.25">
      <c r="A1204" s="18">
        <v>24.02</v>
      </c>
      <c r="B1204" s="2">
        <v>-7.8399999999999997E-3</v>
      </c>
      <c r="C1204" s="2">
        <f t="shared" si="91"/>
        <v>1.5680000000000001</v>
      </c>
      <c r="D1204" s="2">
        <f t="shared" si="92"/>
        <v>3.1717207684128939E-3</v>
      </c>
      <c r="E1204" s="2">
        <f t="shared" si="94"/>
        <v>4.3170306269708351E-2</v>
      </c>
      <c r="F1204" s="2">
        <f t="shared" si="93"/>
        <v>-8.7311623052385795E-2</v>
      </c>
      <c r="G1204" s="2">
        <f t="shared" si="90"/>
        <v>-8.7311623052385795E-2</v>
      </c>
    </row>
    <row r="1205" spans="1:7" x14ac:dyDescent="0.25">
      <c r="A1205" s="18">
        <v>24.04</v>
      </c>
      <c r="B1205" s="2">
        <v>7.1300000000000001E-3</v>
      </c>
      <c r="C1205" s="2">
        <f t="shared" si="91"/>
        <v>-1.4259999999999999</v>
      </c>
      <c r="D1205" s="2">
        <f t="shared" si="92"/>
        <v>4.8552936916285584E-3</v>
      </c>
      <c r="E1205" s="2">
        <f t="shared" si="94"/>
        <v>4.2962439310915465E-2</v>
      </c>
      <c r="F1205" s="2">
        <f t="shared" si="93"/>
        <v>-0.15278881074885872</v>
      </c>
      <c r="G1205" s="2">
        <f t="shared" si="90"/>
        <v>-0.15278881074885872</v>
      </c>
    </row>
    <row r="1206" spans="1:7" x14ac:dyDescent="0.25">
      <c r="A1206" s="18">
        <v>24.06</v>
      </c>
      <c r="B1206" s="2">
        <v>2.2100000000000002E-2</v>
      </c>
      <c r="C1206" s="2">
        <f t="shared" si="91"/>
        <v>-4.42</v>
      </c>
      <c r="D1206" s="2">
        <f t="shared" si="92"/>
        <v>6.4777510905446797E-3</v>
      </c>
      <c r="E1206" s="2">
        <f t="shared" si="94"/>
        <v>4.2089323080391608E-2</v>
      </c>
      <c r="F1206" s="2">
        <f t="shared" si="93"/>
        <v>-0.21643253271633708</v>
      </c>
      <c r="G1206" s="2">
        <f t="shared" si="90"/>
        <v>-0.21643253271633708</v>
      </c>
    </row>
    <row r="1207" spans="1:7" x14ac:dyDescent="0.25">
      <c r="A1207" s="18">
        <v>24.08</v>
      </c>
      <c r="B1207" s="2">
        <v>3.7069999999999999E-2</v>
      </c>
      <c r="C1207" s="2">
        <f t="shared" si="91"/>
        <v>-7.4139999999999997</v>
      </c>
      <c r="D1207" s="2">
        <f t="shared" si="92"/>
        <v>8.0136354763742663E-3</v>
      </c>
      <c r="E1207" s="2">
        <f t="shared" si="94"/>
        <v>4.0561434972903036E-2</v>
      </c>
      <c r="F1207" s="2">
        <f t="shared" si="93"/>
        <v>-0.27747906429122571</v>
      </c>
      <c r="G1207" s="2">
        <f t="shared" si="90"/>
        <v>-0.27747906429122571</v>
      </c>
    </row>
    <row r="1208" spans="1:7" x14ac:dyDescent="0.25">
      <c r="A1208" s="18">
        <v>24.1</v>
      </c>
      <c r="B1208" s="2">
        <v>5.2040000000000003E-2</v>
      </c>
      <c r="C1208" s="2">
        <f t="shared" si="91"/>
        <v>-10.408000000000001</v>
      </c>
      <c r="D1208" s="2">
        <f t="shared" si="92"/>
        <v>9.4385282364873625E-3</v>
      </c>
      <c r="E1208" s="2">
        <f t="shared" si="94"/>
        <v>3.8397109645739662E-2</v>
      </c>
      <c r="F1208" s="2">
        <f t="shared" si="93"/>
        <v>-0.33519584709462352</v>
      </c>
      <c r="G1208" s="2">
        <f t="shared" si="90"/>
        <v>-0.33519584709462352</v>
      </c>
    </row>
    <row r="1209" spans="1:7" x14ac:dyDescent="0.25">
      <c r="A1209" s="18">
        <v>24.12</v>
      </c>
      <c r="B1209" s="2">
        <v>6.701E-2</v>
      </c>
      <c r="C1209" s="2">
        <f t="shared" si="91"/>
        <v>-13.401999999999999</v>
      </c>
      <c r="D1209" s="2">
        <f t="shared" si="92"/>
        <v>1.0729342657762609E-2</v>
      </c>
      <c r="E1209" s="2">
        <f t="shared" si="94"/>
        <v>3.5622319002827404E-2</v>
      </c>
      <c r="F1209" s="2">
        <f t="shared" si="93"/>
        <v>-0.38889027973288032</v>
      </c>
      <c r="G1209" s="2">
        <f t="shared" si="90"/>
        <v>-0.38889027973288032</v>
      </c>
    </row>
    <row r="1210" spans="1:7" x14ac:dyDescent="0.25">
      <c r="A1210" s="18">
        <v>24.14</v>
      </c>
      <c r="B1210" s="2">
        <v>8.1979999999999997E-2</v>
      </c>
      <c r="C1210" s="2">
        <f t="shared" si="91"/>
        <v>-16.396000000000001</v>
      </c>
      <c r="D1210" s="2">
        <f t="shared" si="92"/>
        <v>1.1864600967144704E-2</v>
      </c>
      <c r="E1210" s="2">
        <f t="shared" si="94"/>
        <v>3.2270360531881169E-2</v>
      </c>
      <c r="F1210" s="2">
        <f t="shared" si="93"/>
        <v>-0.43791802901434196</v>
      </c>
      <c r="G1210" s="2">
        <f t="shared" si="90"/>
        <v>-0.43791802901434196</v>
      </c>
    </row>
    <row r="1211" spans="1:7" x14ac:dyDescent="0.25">
      <c r="A1211" s="18">
        <v>24.16</v>
      </c>
      <c r="B1211" s="2">
        <v>3.0849999999999999E-2</v>
      </c>
      <c r="C1211" s="2">
        <f t="shared" si="91"/>
        <v>-6.17</v>
      </c>
      <c r="D1211" s="2">
        <f t="shared" si="92"/>
        <v>1.2824692064921062E-2</v>
      </c>
      <c r="E1211" s="2">
        <f t="shared" si="94"/>
        <v>2.8381457734552366E-2</v>
      </c>
      <c r="F1211" s="2">
        <f t="shared" si="93"/>
        <v>-0.41559076194763211</v>
      </c>
      <c r="G1211" s="2">
        <f t="shared" si="90"/>
        <v>-0.41559076194763211</v>
      </c>
    </row>
    <row r="1212" spans="1:7" x14ac:dyDescent="0.25">
      <c r="A1212" s="18">
        <v>24.18</v>
      </c>
      <c r="B1212" s="2">
        <v>-2.027E-2</v>
      </c>
      <c r="C1212" s="2">
        <f t="shared" si="91"/>
        <v>4.0540000000000003</v>
      </c>
      <c r="D1212" s="2">
        <f t="shared" si="92"/>
        <v>1.3618546857918367E-2</v>
      </c>
      <c r="E1212" s="2">
        <f t="shared" si="94"/>
        <v>2.4002277444408946E-2</v>
      </c>
      <c r="F1212" s="2">
        <f t="shared" si="93"/>
        <v>-0.38828640573755363</v>
      </c>
      <c r="G1212" s="2">
        <f t="shared" si="90"/>
        <v>-0.38828640573755363</v>
      </c>
    </row>
    <row r="1213" spans="1:7" x14ac:dyDescent="0.25">
      <c r="A1213" s="18">
        <v>24.2</v>
      </c>
      <c r="B1213" s="2">
        <v>-7.1400000000000005E-2</v>
      </c>
      <c r="C1213" s="2">
        <f t="shared" si="91"/>
        <v>14.280000000000001</v>
      </c>
      <c r="D1213" s="2">
        <f t="shared" si="92"/>
        <v>1.4257087088620651E-2</v>
      </c>
      <c r="E1213" s="2">
        <f t="shared" si="94"/>
        <v>1.9846369824932625E-2</v>
      </c>
      <c r="F1213" s="2">
        <f t="shared" si="93"/>
        <v>-0.35631261265861319</v>
      </c>
      <c r="G1213" s="2">
        <f t="shared" si="90"/>
        <v>-0.35631261265861319</v>
      </c>
    </row>
    <row r="1214" spans="1:7" x14ac:dyDescent="0.25">
      <c r="A1214" s="18">
        <v>24.22</v>
      </c>
      <c r="B1214" s="2">
        <v>-0.12253</v>
      </c>
      <c r="C1214" s="2">
        <f t="shared" si="91"/>
        <v>24.506</v>
      </c>
      <c r="D1214" s="2">
        <f t="shared" si="92"/>
        <v>1.4753102274259489E-2</v>
      </c>
      <c r="E1214" s="2">
        <f t="shared" si="94"/>
        <v>1.596350576755709E-2</v>
      </c>
      <c r="F1214" s="2">
        <f t="shared" si="93"/>
        <v>-0.32006306822778341</v>
      </c>
      <c r="G1214" s="2">
        <f t="shared" si="90"/>
        <v>-0.32006306822778341</v>
      </c>
    </row>
    <row r="1215" spans="1:7" x14ac:dyDescent="0.25">
      <c r="A1215" s="18">
        <v>24.24</v>
      </c>
      <c r="B1215" s="2">
        <v>-8.6440000000000003E-2</v>
      </c>
      <c r="C1215" s="2">
        <f t="shared" si="91"/>
        <v>17.288</v>
      </c>
      <c r="D1215" s="2">
        <f t="shared" si="92"/>
        <v>1.5121092232607214E-2</v>
      </c>
      <c r="E1215" s="2">
        <f t="shared" si="94"/>
        <v>1.2400379640970958E-2</v>
      </c>
      <c r="F1215" s="2">
        <f t="shared" si="93"/>
        <v>-0.36719276697821063</v>
      </c>
      <c r="G1215" s="2">
        <f t="shared" si="90"/>
        <v>-0.36719276697821063</v>
      </c>
    </row>
    <row r="1216" spans="1:7" x14ac:dyDescent="0.25">
      <c r="A1216" s="18">
        <v>24.26</v>
      </c>
      <c r="B1216" s="2">
        <v>-5.0349999999999999E-2</v>
      </c>
      <c r="C1216" s="2">
        <f t="shared" si="91"/>
        <v>10.07</v>
      </c>
      <c r="D1216" s="2">
        <f t="shared" si="92"/>
        <v>1.5342205084163655E-2</v>
      </c>
      <c r="E1216" s="2">
        <f t="shared" si="94"/>
        <v>9.1997489586931238E-3</v>
      </c>
      <c r="F1216" s="2">
        <f t="shared" si="93"/>
        <v>-0.4099161525249152</v>
      </c>
      <c r="G1216" s="2">
        <f t="shared" si="90"/>
        <v>-0.4099161525249152</v>
      </c>
    </row>
    <row r="1217" spans="1:7" x14ac:dyDescent="0.25">
      <c r="A1217" s="18">
        <v>24.28</v>
      </c>
      <c r="B1217" s="2">
        <v>-1.426E-2</v>
      </c>
      <c r="C1217" s="2">
        <f t="shared" si="91"/>
        <v>2.8519999999999999</v>
      </c>
      <c r="D1217" s="2">
        <f t="shared" si="92"/>
        <v>1.5399351474710129E-2</v>
      </c>
      <c r="E1217" s="2">
        <f t="shared" si="94"/>
        <v>5.5278212889110171E-3</v>
      </c>
      <c r="F1217" s="2">
        <f t="shared" si="93"/>
        <v>-0.44772054424129909</v>
      </c>
      <c r="G1217" s="2">
        <f t="shared" si="90"/>
        <v>-0.44772054424129909</v>
      </c>
    </row>
    <row r="1218" spans="1:7" x14ac:dyDescent="0.25">
      <c r="A1218" s="18">
        <v>24.3</v>
      </c>
      <c r="B1218" s="2">
        <v>2.1829999999999999E-2</v>
      </c>
      <c r="C1218" s="2">
        <f t="shared" si="91"/>
        <v>-4.3659999999999997</v>
      </c>
      <c r="D1218" s="2">
        <f t="shared" si="92"/>
        <v>1.5277409647560084E-2</v>
      </c>
      <c r="E1218" s="2">
        <f t="shared" si="94"/>
        <v>1.4286597636618652E-3</v>
      </c>
      <c r="F1218" s="2">
        <f t="shared" si="93"/>
        <v>-0.48015228942679694</v>
      </c>
      <c r="G1218" s="2">
        <f t="shared" ref="G1218:G1281" si="95">HLOOKUP($Y$3,$B$1:$F$1562,ROW(),0)</f>
        <v>-0.48015228942679694</v>
      </c>
    </row>
    <row r="1219" spans="1:7" x14ac:dyDescent="0.25">
      <c r="A1219" s="18">
        <v>24.32</v>
      </c>
      <c r="B1219" s="2">
        <v>5.7919999999999999E-2</v>
      </c>
      <c r="C1219" s="2">
        <f t="shared" ref="C1219:C1282" si="96">-$M$4*B1219</f>
        <v>-11.584</v>
      </c>
      <c r="D1219" s="2">
        <f t="shared" si="92"/>
        <v>1.496340690463932E-2</v>
      </c>
      <c r="E1219" s="2">
        <f t="shared" si="94"/>
        <v>-3.0485456787511262E-3</v>
      </c>
      <c r="F1219" s="2">
        <f t="shared" si="93"/>
        <v>-0.50682220713918735</v>
      </c>
      <c r="G1219" s="2">
        <f t="shared" si="95"/>
        <v>-0.50682220713918735</v>
      </c>
    </row>
    <row r="1220" spans="1:7" x14ac:dyDescent="0.25">
      <c r="A1220" s="18">
        <v>24.34</v>
      </c>
      <c r="B1220" s="2">
        <v>9.4E-2</v>
      </c>
      <c r="C1220" s="2">
        <f t="shared" si="96"/>
        <v>-18.8</v>
      </c>
      <c r="D1220" s="2">
        <f t="shared" ref="D1220:D1283" si="97">(C1219-($Q$6*D1219)-($Q$7*D1218))/$Q$5</f>
        <v>1.4446675278862882E-2</v>
      </c>
      <c r="E1220" s="2">
        <f t="shared" si="94"/>
        <v>-7.8500685730190957E-3</v>
      </c>
      <c r="F1220" s="2">
        <f t="shared" ref="F1220:F1283" si="98">(D1219-2*D1220+D1221)/($A$4^2)</f>
        <v>-0.52740025836588411</v>
      </c>
      <c r="G1220" s="2">
        <f t="shared" si="95"/>
        <v>-0.52740025836588411</v>
      </c>
    </row>
    <row r="1221" spans="1:7" x14ac:dyDescent="0.25">
      <c r="A1221" s="18">
        <v>24.36</v>
      </c>
      <c r="B1221" s="2">
        <v>0.13009000000000001</v>
      </c>
      <c r="C1221" s="2">
        <f t="shared" si="96"/>
        <v>-26.018000000000001</v>
      </c>
      <c r="D1221" s="2">
        <f t="shared" si="97"/>
        <v>1.3718983549740089E-2</v>
      </c>
      <c r="E1221" s="2">
        <f t="shared" ref="E1221:E1284" si="99">(D1220-D1219)/(2*$A$4)</f>
        <v>-1.291829064441097E-2</v>
      </c>
      <c r="F1221" s="2">
        <f t="shared" si="98"/>
        <v>-0.54165950649220485</v>
      </c>
      <c r="G1221" s="2">
        <f t="shared" si="95"/>
        <v>-0.54165950649220485</v>
      </c>
    </row>
    <row r="1222" spans="1:7" x14ac:dyDescent="0.25">
      <c r="A1222" s="18">
        <v>24.38</v>
      </c>
      <c r="B1222" s="2">
        <v>3.6110000000000003E-2</v>
      </c>
      <c r="C1222" s="2">
        <f t="shared" si="96"/>
        <v>-7.2220000000000004</v>
      </c>
      <c r="D1222" s="2">
        <f t="shared" si="97"/>
        <v>1.2774628018020415E-2</v>
      </c>
      <c r="E1222" s="2">
        <f t="shared" si="99"/>
        <v>-1.8192293228069811E-2</v>
      </c>
      <c r="F1222" s="2">
        <f t="shared" si="98"/>
        <v>-0.41934884054060839</v>
      </c>
      <c r="G1222" s="2">
        <f t="shared" si="95"/>
        <v>-0.41934884054060839</v>
      </c>
    </row>
    <row r="1223" spans="1:7" x14ac:dyDescent="0.25">
      <c r="A1223" s="18">
        <v>24.4</v>
      </c>
      <c r="B1223" s="2">
        <v>-5.7869999999999998E-2</v>
      </c>
      <c r="C1223" s="2">
        <f t="shared" si="96"/>
        <v>11.574</v>
      </c>
      <c r="D1223" s="2">
        <f t="shared" si="97"/>
        <v>1.1662532950084497E-2</v>
      </c>
      <c r="E1223" s="2">
        <f t="shared" si="99"/>
        <v>-2.3608888292991858E-2</v>
      </c>
      <c r="F1223" s="2">
        <f t="shared" si="98"/>
        <v>-0.29200598850253295</v>
      </c>
      <c r="G1223" s="2">
        <f t="shared" si="95"/>
        <v>-0.29200598850253295</v>
      </c>
    </row>
    <row r="1224" spans="1:7" x14ac:dyDescent="0.25">
      <c r="A1224" s="18">
        <v>24.42</v>
      </c>
      <c r="B1224" s="2">
        <v>-4.802E-2</v>
      </c>
      <c r="C1224" s="2">
        <f t="shared" si="96"/>
        <v>9.6039999999999992</v>
      </c>
      <c r="D1224" s="2">
        <f t="shared" si="97"/>
        <v>1.0433635486747566E-2</v>
      </c>
      <c r="E1224" s="2">
        <f t="shared" si="99"/>
        <v>-2.7802376698397944E-2</v>
      </c>
      <c r="F1224" s="2">
        <f t="shared" si="98"/>
        <v>-0.26498906460243471</v>
      </c>
      <c r="G1224" s="2">
        <f t="shared" si="95"/>
        <v>-0.26498906460243471</v>
      </c>
    </row>
    <row r="1225" spans="1:7" x14ac:dyDescent="0.25">
      <c r="A1225" s="18">
        <v>24.44</v>
      </c>
      <c r="B1225" s="2">
        <v>-3.8170000000000003E-2</v>
      </c>
      <c r="C1225" s="2">
        <f t="shared" si="96"/>
        <v>7.6340000000000003</v>
      </c>
      <c r="D1225" s="2">
        <f t="shared" si="97"/>
        <v>9.0987423975696612E-3</v>
      </c>
      <c r="E1225" s="2">
        <f t="shared" si="99"/>
        <v>-3.0722436583423274E-2</v>
      </c>
      <c r="F1225" s="2">
        <f t="shared" si="98"/>
        <v>-0.23479227192708516</v>
      </c>
      <c r="G1225" s="2">
        <f t="shared" si="95"/>
        <v>-0.23479227192708516</v>
      </c>
    </row>
    <row r="1226" spans="1:7" x14ac:dyDescent="0.25">
      <c r="A1226" s="18">
        <v>24.46</v>
      </c>
      <c r="B1226" s="2">
        <v>-2.8320000000000001E-2</v>
      </c>
      <c r="C1226" s="2">
        <f t="shared" si="96"/>
        <v>5.6640000000000006</v>
      </c>
      <c r="D1226" s="2">
        <f t="shared" si="97"/>
        <v>7.6699323996209223E-3</v>
      </c>
      <c r="E1226" s="2">
        <f t="shared" si="99"/>
        <v>-3.3372327229447621E-2</v>
      </c>
      <c r="F1226" s="2">
        <f t="shared" si="98"/>
        <v>-0.20177797198863257</v>
      </c>
      <c r="G1226" s="2">
        <f t="shared" si="95"/>
        <v>-0.20177797198863257</v>
      </c>
    </row>
    <row r="1227" spans="1:7" x14ac:dyDescent="0.25">
      <c r="A1227" s="18">
        <v>24.48</v>
      </c>
      <c r="B1227" s="2">
        <v>-1.8460000000000001E-2</v>
      </c>
      <c r="C1227" s="2">
        <f t="shared" si="96"/>
        <v>3.6920000000000002</v>
      </c>
      <c r="D1227" s="2">
        <f t="shared" si="97"/>
        <v>6.1604112128767303E-3</v>
      </c>
      <c r="E1227" s="2">
        <f t="shared" si="99"/>
        <v>-3.5720249948718474E-2</v>
      </c>
      <c r="F1227" s="2">
        <f t="shared" si="98"/>
        <v>-0.16635233638630015</v>
      </c>
      <c r="G1227" s="2">
        <f t="shared" si="95"/>
        <v>-0.16635233638630015</v>
      </c>
    </row>
    <row r="1228" spans="1:7" x14ac:dyDescent="0.25">
      <c r="A1228" s="18">
        <v>24.5</v>
      </c>
      <c r="B1228" s="2">
        <v>-8.6099999999999996E-3</v>
      </c>
      <c r="C1228" s="2">
        <f t="shared" si="96"/>
        <v>1.722</v>
      </c>
      <c r="D1228" s="2">
        <f t="shared" si="97"/>
        <v>4.5843490915780183E-3</v>
      </c>
      <c r="E1228" s="2">
        <f t="shared" si="99"/>
        <v>-3.7738029668604796E-2</v>
      </c>
      <c r="F1228" s="2">
        <f t="shared" si="98"/>
        <v>-0.12892047274733956</v>
      </c>
      <c r="G1228" s="2">
        <f t="shared" si="95"/>
        <v>-0.12892047274733956</v>
      </c>
    </row>
    <row r="1229" spans="1:7" x14ac:dyDescent="0.25">
      <c r="A1229" s="18">
        <v>24.52</v>
      </c>
      <c r="B1229" s="2">
        <v>-3.6519999999999997E-2</v>
      </c>
      <c r="C1229" s="2">
        <f t="shared" si="96"/>
        <v>7.3039999999999994</v>
      </c>
      <c r="D1229" s="2">
        <f t="shared" si="97"/>
        <v>2.9567187811803705E-3</v>
      </c>
      <c r="E1229" s="2">
        <f t="shared" si="99"/>
        <v>-3.9401553032467798E-2</v>
      </c>
      <c r="F1229" s="2">
        <f t="shared" si="98"/>
        <v>-5.2181563435410624E-2</v>
      </c>
      <c r="G1229" s="2">
        <f t="shared" si="95"/>
        <v>-5.2181563435410624E-2</v>
      </c>
    </row>
    <row r="1230" spans="1:7" x14ac:dyDescent="0.25">
      <c r="A1230" s="18">
        <v>24.54</v>
      </c>
      <c r="B1230" s="2">
        <v>-6.4439999999999997E-2</v>
      </c>
      <c r="C1230" s="2">
        <f t="shared" si="96"/>
        <v>12.888</v>
      </c>
      <c r="D1230" s="2">
        <f t="shared" si="97"/>
        <v>1.3082158454085584E-3</v>
      </c>
      <c r="E1230" s="2">
        <f t="shared" si="99"/>
        <v>-4.0690757759941194E-2</v>
      </c>
      <c r="F1230" s="2">
        <f t="shared" si="98"/>
        <v>2.5193524637743065E-2</v>
      </c>
      <c r="G1230" s="2">
        <f t="shared" si="95"/>
        <v>2.5193524637743065E-2</v>
      </c>
    </row>
    <row r="1231" spans="1:7" x14ac:dyDescent="0.25">
      <c r="A1231" s="18">
        <v>24.56</v>
      </c>
      <c r="B1231" s="2">
        <v>-6.1690000000000002E-2</v>
      </c>
      <c r="C1231" s="2">
        <f t="shared" si="96"/>
        <v>12.338000000000001</v>
      </c>
      <c r="D1231" s="2">
        <f t="shared" si="97"/>
        <v>-3.3020968050815643E-4</v>
      </c>
      <c r="E1231" s="2">
        <f t="shared" si="99"/>
        <v>-4.12125733942953E-2</v>
      </c>
      <c r="F1231" s="2">
        <f t="shared" si="98"/>
        <v>7.1596290415244526E-2</v>
      </c>
      <c r="G1231" s="2">
        <f t="shared" si="95"/>
        <v>7.1596290415244526E-2</v>
      </c>
    </row>
    <row r="1232" spans="1:7" x14ac:dyDescent="0.25">
      <c r="A1232" s="18">
        <v>24.58</v>
      </c>
      <c r="B1232" s="2">
        <v>-5.8939999999999999E-2</v>
      </c>
      <c r="C1232" s="2">
        <f t="shared" si="96"/>
        <v>11.788</v>
      </c>
      <c r="D1232" s="2">
        <f t="shared" si="97"/>
        <v>-1.9399966902587736E-3</v>
      </c>
      <c r="E1232" s="2">
        <f t="shared" si="99"/>
        <v>-4.0960638147917873E-2</v>
      </c>
      <c r="F1232" s="2">
        <f t="shared" si="98"/>
        <v>0.11713990070776341</v>
      </c>
      <c r="G1232" s="2">
        <f t="shared" si="95"/>
        <v>0.11713990070776341</v>
      </c>
    </row>
    <row r="1233" spans="1:7" x14ac:dyDescent="0.25">
      <c r="A1233" s="18">
        <v>24.6</v>
      </c>
      <c r="B1233" s="2">
        <v>-5.6180000000000001E-2</v>
      </c>
      <c r="C1233" s="2">
        <f t="shared" si="96"/>
        <v>11.236000000000001</v>
      </c>
      <c r="D1233" s="2">
        <f t="shared" si="97"/>
        <v>-3.5029277397262853E-3</v>
      </c>
      <c r="E1233" s="2">
        <f t="shared" si="99"/>
        <v>-4.0244675243765425E-2</v>
      </c>
      <c r="F1233" s="2">
        <f t="shared" si="98"/>
        <v>0.16126783219178736</v>
      </c>
      <c r="G1233" s="2">
        <f t="shared" si="95"/>
        <v>0.16126783219178736</v>
      </c>
    </row>
    <row r="1234" spans="1:7" x14ac:dyDescent="0.25">
      <c r="A1234" s="18">
        <v>24.62</v>
      </c>
      <c r="B1234" s="2">
        <v>-6.0729999999999999E-2</v>
      </c>
      <c r="C1234" s="2">
        <f t="shared" si="96"/>
        <v>12.145999999999999</v>
      </c>
      <c r="D1234" s="2">
        <f t="shared" si="97"/>
        <v>-5.0013516563170816E-3</v>
      </c>
      <c r="E1234" s="2">
        <f t="shared" si="99"/>
        <v>-3.9073276236687791E-2</v>
      </c>
      <c r="F1234" s="2">
        <f t="shared" si="98"/>
        <v>0.21077054968951037</v>
      </c>
      <c r="G1234" s="2">
        <f t="shared" si="95"/>
        <v>0.21077054968951037</v>
      </c>
    </row>
    <row r="1235" spans="1:7" x14ac:dyDescent="0.25">
      <c r="A1235" s="18">
        <v>24.64</v>
      </c>
      <c r="B1235" s="2">
        <v>-6.5280000000000005E-2</v>
      </c>
      <c r="C1235" s="2">
        <f t="shared" si="96"/>
        <v>13.056000000000001</v>
      </c>
      <c r="D1235" s="2">
        <f t="shared" si="97"/>
        <v>-6.4154673530320743E-3</v>
      </c>
      <c r="E1235" s="2">
        <f t="shared" si="99"/>
        <v>-3.7460597914769911E-2</v>
      </c>
      <c r="F1235" s="2">
        <f t="shared" si="98"/>
        <v>0.25774402059095758</v>
      </c>
      <c r="G1235" s="2">
        <f t="shared" si="95"/>
        <v>0.25774402059095758</v>
      </c>
    </row>
    <row r="1236" spans="1:7" x14ac:dyDescent="0.25">
      <c r="A1236" s="18">
        <v>24.66</v>
      </c>
      <c r="B1236" s="2">
        <v>-4.6280000000000002E-2</v>
      </c>
      <c r="C1236" s="2">
        <f t="shared" si="96"/>
        <v>9.2560000000000002</v>
      </c>
      <c r="D1236" s="2">
        <f t="shared" si="97"/>
        <v>-7.7264854415106839E-3</v>
      </c>
      <c r="E1236" s="2">
        <f t="shared" si="99"/>
        <v>-3.5352892417874815E-2</v>
      </c>
      <c r="F1236" s="2">
        <f t="shared" si="98"/>
        <v>0.27807456324532331</v>
      </c>
      <c r="G1236" s="2">
        <f t="shared" si="95"/>
        <v>0.27807456324532331</v>
      </c>
    </row>
    <row r="1237" spans="1:7" x14ac:dyDescent="0.25">
      <c r="A1237" s="18">
        <v>24.68</v>
      </c>
      <c r="B1237" s="2">
        <v>-2.7279999999999999E-2</v>
      </c>
      <c r="C1237" s="2">
        <f t="shared" si="96"/>
        <v>5.4559999999999995</v>
      </c>
      <c r="D1237" s="2">
        <f t="shared" si="97"/>
        <v>-8.926273704691165E-3</v>
      </c>
      <c r="E1237" s="2">
        <f t="shared" si="99"/>
        <v>-3.2775452211965241E-2</v>
      </c>
      <c r="F1237" s="2">
        <f t="shared" si="98"/>
        <v>0.29506821114073756</v>
      </c>
      <c r="G1237" s="2">
        <f t="shared" si="95"/>
        <v>0.29506821114073756</v>
      </c>
    </row>
    <row r="1238" spans="1:7" x14ac:dyDescent="0.25">
      <c r="A1238" s="18">
        <v>24.7</v>
      </c>
      <c r="B1238" s="2">
        <v>-8.2900000000000005E-3</v>
      </c>
      <c r="C1238" s="2">
        <f t="shared" si="96"/>
        <v>1.6580000000000001</v>
      </c>
      <c r="D1238" s="2">
        <f t="shared" si="97"/>
        <v>-1.0008034683415351E-2</v>
      </c>
      <c r="E1238" s="2">
        <f t="shared" si="99"/>
        <v>-2.9994706579512028E-2</v>
      </c>
      <c r="F1238" s="2">
        <f t="shared" si="98"/>
        <v>0.30853104050245372</v>
      </c>
      <c r="G1238" s="2">
        <f t="shared" si="95"/>
        <v>0.30853104050245372</v>
      </c>
    </row>
    <row r="1239" spans="1:7" x14ac:dyDescent="0.25">
      <c r="A1239" s="18">
        <v>24.72</v>
      </c>
      <c r="B1239" s="2">
        <v>1.0710000000000001E-2</v>
      </c>
      <c r="C1239" s="2">
        <f t="shared" si="96"/>
        <v>-2.1420000000000003</v>
      </c>
      <c r="D1239" s="2">
        <f t="shared" si="97"/>
        <v>-1.0966383245938556E-2</v>
      </c>
      <c r="E1239" s="2">
        <f t="shared" si="99"/>
        <v>-2.7044024468104652E-2</v>
      </c>
      <c r="F1239" s="2">
        <f t="shared" si="98"/>
        <v>0.31828149737815697</v>
      </c>
      <c r="G1239" s="2">
        <f t="shared" si="95"/>
        <v>0.31828149737815697</v>
      </c>
    </row>
    <row r="1240" spans="1:7" x14ac:dyDescent="0.25">
      <c r="A1240" s="18">
        <v>24.74</v>
      </c>
      <c r="B1240" s="2">
        <v>2.9700000000000001E-2</v>
      </c>
      <c r="C1240" s="2">
        <f t="shared" si="96"/>
        <v>-5.94</v>
      </c>
      <c r="D1240" s="2">
        <f t="shared" si="97"/>
        <v>-1.1797419209510497E-2</v>
      </c>
      <c r="E1240" s="2">
        <f t="shared" si="99"/>
        <v>-2.3958714063080113E-2</v>
      </c>
      <c r="F1240" s="2">
        <f t="shared" si="98"/>
        <v>0.32422257628531187</v>
      </c>
      <c r="G1240" s="2">
        <f t="shared" si="95"/>
        <v>0.32422257628531187</v>
      </c>
    </row>
    <row r="1241" spans="1:7" x14ac:dyDescent="0.25">
      <c r="A1241" s="18">
        <v>24.76</v>
      </c>
      <c r="B1241" s="2">
        <v>3.1379999999999998E-2</v>
      </c>
      <c r="C1241" s="2">
        <f t="shared" si="96"/>
        <v>-6.2759999999999998</v>
      </c>
      <c r="D1241" s="2">
        <f t="shared" si="97"/>
        <v>-1.2498766142568314E-2</v>
      </c>
      <c r="E1241" s="2">
        <f t="shared" si="99"/>
        <v>-2.0775899089298545E-2</v>
      </c>
      <c r="F1241" s="2">
        <f t="shared" si="98"/>
        <v>0.34358298427705247</v>
      </c>
      <c r="G1241" s="2">
        <f t="shared" si="95"/>
        <v>0.34358298427705247</v>
      </c>
    </row>
    <row r="1242" spans="1:7" x14ac:dyDescent="0.25">
      <c r="A1242" s="18">
        <v>24.78</v>
      </c>
      <c r="B1242" s="2">
        <v>3.3059999999999999E-2</v>
      </c>
      <c r="C1242" s="2">
        <f t="shared" si="96"/>
        <v>-6.6120000000000001</v>
      </c>
      <c r="D1242" s="2">
        <f t="shared" si="97"/>
        <v>-1.3062679881915311E-2</v>
      </c>
      <c r="E1242" s="2">
        <f t="shared" si="99"/>
        <v>-1.7533673326445426E-2</v>
      </c>
      <c r="F1242" s="2">
        <f t="shared" si="98"/>
        <v>0.35882039645745989</v>
      </c>
      <c r="G1242" s="2">
        <f t="shared" si="95"/>
        <v>0.35882039645745989</v>
      </c>
    </row>
    <row r="1243" spans="1:7" x14ac:dyDescent="0.25">
      <c r="A1243" s="18">
        <v>24.8</v>
      </c>
      <c r="B1243" s="2">
        <v>3.474E-2</v>
      </c>
      <c r="C1243" s="2">
        <f t="shared" si="96"/>
        <v>-6.9480000000000004</v>
      </c>
      <c r="D1243" s="2">
        <f t="shared" si="97"/>
        <v>-1.3483065462679323E-2</v>
      </c>
      <c r="E1243" s="2">
        <f t="shared" si="99"/>
        <v>-1.4097843483674901E-2</v>
      </c>
      <c r="F1243" s="2">
        <f t="shared" si="98"/>
        <v>0.36975196388037196</v>
      </c>
      <c r="G1243" s="2">
        <f t="shared" si="95"/>
        <v>0.36975196388037196</v>
      </c>
    </row>
    <row r="1244" spans="1:7" x14ac:dyDescent="0.25">
      <c r="A1244" s="18">
        <v>24.82</v>
      </c>
      <c r="B1244" s="2">
        <v>3.6420000000000001E-2</v>
      </c>
      <c r="C1244" s="2">
        <f t="shared" si="96"/>
        <v>-7.2839999999999998</v>
      </c>
      <c r="D1244" s="2">
        <f t="shared" si="97"/>
        <v>-1.3755550257891186E-2</v>
      </c>
      <c r="E1244" s="2">
        <f t="shared" si="99"/>
        <v>-1.0509639519100302E-2</v>
      </c>
      <c r="F1244" s="2">
        <f t="shared" si="98"/>
        <v>0.37624650773673218</v>
      </c>
      <c r="G1244" s="2">
        <f t="shared" si="95"/>
        <v>0.37624650773673218</v>
      </c>
    </row>
    <row r="1245" spans="1:7" x14ac:dyDescent="0.25">
      <c r="A1245" s="18">
        <v>24.84</v>
      </c>
      <c r="B1245" s="2">
        <v>4.5740000000000003E-2</v>
      </c>
      <c r="C1245" s="2">
        <f t="shared" si="96"/>
        <v>-9.1479999999999997</v>
      </c>
      <c r="D1245" s="2">
        <f t="shared" si="97"/>
        <v>-1.3877536450008356E-2</v>
      </c>
      <c r="E1245" s="2">
        <f t="shared" si="99"/>
        <v>-6.8121198802965823E-3</v>
      </c>
      <c r="F1245" s="2">
        <f t="shared" si="98"/>
        <v>0.37058609350025268</v>
      </c>
      <c r="G1245" s="2">
        <f t="shared" si="95"/>
        <v>0.37058609350025268</v>
      </c>
    </row>
    <row r="1246" spans="1:7" x14ac:dyDescent="0.25">
      <c r="A1246" s="18">
        <v>24.86</v>
      </c>
      <c r="B1246" s="2">
        <v>5.5059999999999998E-2</v>
      </c>
      <c r="C1246" s="2">
        <f t="shared" si="96"/>
        <v>-11.012</v>
      </c>
      <c r="D1246" s="2">
        <f t="shared" si="97"/>
        <v>-1.3851288204725426E-2</v>
      </c>
      <c r="E1246" s="2">
        <f t="shared" si="99"/>
        <v>-3.0496548029292601E-3</v>
      </c>
      <c r="F1246" s="2">
        <f t="shared" si="98"/>
        <v>0.3604786461417625</v>
      </c>
      <c r="G1246" s="2">
        <f t="shared" si="95"/>
        <v>0.3604786461417625</v>
      </c>
    </row>
    <row r="1247" spans="1:7" x14ac:dyDescent="0.25">
      <c r="A1247" s="18">
        <v>24.88</v>
      </c>
      <c r="B1247" s="2">
        <v>6.4390000000000003E-2</v>
      </c>
      <c r="C1247" s="2">
        <f t="shared" si="96"/>
        <v>-12.878</v>
      </c>
      <c r="D1247" s="2">
        <f t="shared" si="97"/>
        <v>-1.368084850098579E-2</v>
      </c>
      <c r="E1247" s="2">
        <f t="shared" si="99"/>
        <v>6.5620613207326671E-4</v>
      </c>
      <c r="F1247" s="2">
        <f t="shared" si="98"/>
        <v>0.34603545502956845</v>
      </c>
      <c r="G1247" s="2">
        <f t="shared" si="95"/>
        <v>0.34603545502956845</v>
      </c>
    </row>
    <row r="1248" spans="1:7" x14ac:dyDescent="0.25">
      <c r="A1248" s="18">
        <v>24.9</v>
      </c>
      <c r="B1248" s="2">
        <v>7.3709999999999998E-2</v>
      </c>
      <c r="C1248" s="2">
        <f t="shared" si="96"/>
        <v>-14.741999999999999</v>
      </c>
      <c r="D1248" s="2">
        <f t="shared" si="97"/>
        <v>-1.3371994615234327E-2</v>
      </c>
      <c r="E1248" s="2">
        <f t="shared" si="99"/>
        <v>4.2609925934908918E-3</v>
      </c>
      <c r="F1248" s="2">
        <f t="shared" si="98"/>
        <v>0.32744983845703168</v>
      </c>
      <c r="G1248" s="2">
        <f t="shared" si="95"/>
        <v>0.32744983845703168</v>
      </c>
    </row>
    <row r="1249" spans="1:7" x14ac:dyDescent="0.25">
      <c r="A1249" s="18">
        <v>24.92</v>
      </c>
      <c r="B1249" s="2">
        <v>8.3030000000000007E-2</v>
      </c>
      <c r="C1249" s="2">
        <f t="shared" si="96"/>
        <v>-16.606000000000002</v>
      </c>
      <c r="D1249" s="2">
        <f t="shared" si="97"/>
        <v>-1.2932160794100051E-2</v>
      </c>
      <c r="E1249" s="2">
        <f t="shared" si="99"/>
        <v>7.7213471437865763E-3</v>
      </c>
      <c r="F1249" s="2">
        <f t="shared" si="98"/>
        <v>0.30493482382300696</v>
      </c>
      <c r="G1249" s="2">
        <f t="shared" si="95"/>
        <v>0.30493482382300696</v>
      </c>
    </row>
    <row r="1250" spans="1:7" x14ac:dyDescent="0.25">
      <c r="A1250" s="18">
        <v>24.94</v>
      </c>
      <c r="B1250" s="2">
        <v>3.6049999999999999E-2</v>
      </c>
      <c r="C1250" s="2">
        <f t="shared" si="96"/>
        <v>-7.21</v>
      </c>
      <c r="D1250" s="2">
        <f t="shared" si="97"/>
        <v>-1.2370353043436573E-2</v>
      </c>
      <c r="E1250" s="2">
        <f t="shared" si="99"/>
        <v>1.0995845528356894E-2</v>
      </c>
      <c r="F1250" s="2">
        <f t="shared" si="98"/>
        <v>0.33506059130309573</v>
      </c>
      <c r="G1250" s="2">
        <f t="shared" si="95"/>
        <v>0.33506059130309573</v>
      </c>
    </row>
    <row r="1251" spans="1:7" x14ac:dyDescent="0.25">
      <c r="A1251" s="18">
        <v>24.96</v>
      </c>
      <c r="B1251" s="2">
        <v>-1.0919999999999999E-2</v>
      </c>
      <c r="C1251" s="2">
        <f t="shared" si="96"/>
        <v>2.1839999999999997</v>
      </c>
      <c r="D1251" s="2">
        <f t="shared" si="97"/>
        <v>-1.1674521056251856E-2</v>
      </c>
      <c r="E1251" s="2">
        <f t="shared" si="99"/>
        <v>1.4045193766586963E-2</v>
      </c>
      <c r="F1251" s="2">
        <f t="shared" si="98"/>
        <v>0.36115563168755743</v>
      </c>
      <c r="G1251" s="2">
        <f t="shared" si="95"/>
        <v>0.36115563168755743</v>
      </c>
    </row>
    <row r="1252" spans="1:7" x14ac:dyDescent="0.25">
      <c r="A1252" s="18">
        <v>24.98</v>
      </c>
      <c r="B1252" s="2">
        <v>-5.79E-2</v>
      </c>
      <c r="C1252" s="2">
        <f t="shared" si="96"/>
        <v>11.58</v>
      </c>
      <c r="D1252" s="2">
        <f t="shared" si="97"/>
        <v>-1.0834226816392116E-2</v>
      </c>
      <c r="E1252" s="2">
        <f t="shared" si="99"/>
        <v>1.7395799679617921E-2</v>
      </c>
      <c r="F1252" s="2">
        <f t="shared" si="98"/>
        <v>0.38292680449175837</v>
      </c>
      <c r="G1252" s="2">
        <f t="shared" si="95"/>
        <v>0.38292680449175837</v>
      </c>
    </row>
    <row r="1253" spans="1:7" x14ac:dyDescent="0.25">
      <c r="A1253" s="18">
        <v>25</v>
      </c>
      <c r="B1253" s="2">
        <v>-4.6960000000000002E-2</v>
      </c>
      <c r="C1253" s="2">
        <f t="shared" si="96"/>
        <v>9.3919999999999995</v>
      </c>
      <c r="D1253" s="2">
        <f t="shared" si="97"/>
        <v>-9.8407618547356728E-3</v>
      </c>
      <c r="E1253" s="2">
        <f t="shared" si="99"/>
        <v>2.1007355996493494E-2</v>
      </c>
      <c r="F1253" s="2">
        <f t="shared" si="98"/>
        <v>0.34218285564207185</v>
      </c>
      <c r="G1253" s="2">
        <f t="shared" si="95"/>
        <v>0.34218285564207185</v>
      </c>
    </row>
    <row r="1254" spans="1:7" x14ac:dyDescent="0.25">
      <c r="A1254" s="18">
        <v>25.02</v>
      </c>
      <c r="B1254" s="2">
        <v>-3.6020000000000003E-2</v>
      </c>
      <c r="C1254" s="2">
        <f t="shared" si="96"/>
        <v>7.2040000000000006</v>
      </c>
      <c r="D1254" s="2">
        <f t="shared" si="97"/>
        <v>-8.7104237508224009E-3</v>
      </c>
      <c r="E1254" s="2">
        <f t="shared" si="99"/>
        <v>2.4836624041411078E-2</v>
      </c>
      <c r="F1254" s="2">
        <f t="shared" si="98"/>
        <v>0.29733271252467203</v>
      </c>
      <c r="G1254" s="2">
        <f t="shared" si="95"/>
        <v>0.29733271252467203</v>
      </c>
    </row>
    <row r="1255" spans="1:7" x14ac:dyDescent="0.25">
      <c r="A1255" s="18">
        <v>25.04</v>
      </c>
      <c r="B1255" s="2">
        <v>-2.5080000000000002E-2</v>
      </c>
      <c r="C1255" s="2">
        <f t="shared" si="96"/>
        <v>5.016</v>
      </c>
      <c r="D1255" s="2">
        <f t="shared" si="97"/>
        <v>-7.4611525618992602E-3</v>
      </c>
      <c r="E1255" s="2">
        <f t="shared" si="99"/>
        <v>2.8258452597831798E-2</v>
      </c>
      <c r="F1255" s="2">
        <f t="shared" si="98"/>
        <v>0.24891457685697477</v>
      </c>
      <c r="G1255" s="2">
        <f t="shared" si="95"/>
        <v>0.24891457685697477</v>
      </c>
    </row>
    <row r="1256" spans="1:7" x14ac:dyDescent="0.25">
      <c r="A1256" s="18">
        <v>25.06</v>
      </c>
      <c r="B1256" s="2">
        <v>-1.414E-2</v>
      </c>
      <c r="C1256" s="2">
        <f t="shared" si="96"/>
        <v>2.8279999999999998</v>
      </c>
      <c r="D1256" s="2">
        <f t="shared" si="97"/>
        <v>-6.1123155422333295E-3</v>
      </c>
      <c r="E1256" s="2">
        <f t="shared" si="99"/>
        <v>3.1231779723078518E-2</v>
      </c>
      <c r="F1256" s="2">
        <f t="shared" si="98"/>
        <v>0.19750946626700222</v>
      </c>
      <c r="G1256" s="2">
        <f t="shared" si="95"/>
        <v>0.19750946626700222</v>
      </c>
    </row>
    <row r="1257" spans="1:7" x14ac:dyDescent="0.25">
      <c r="A1257" s="18">
        <v>25.08</v>
      </c>
      <c r="B1257" s="2">
        <v>-3.5610000000000003E-2</v>
      </c>
      <c r="C1257" s="2">
        <f t="shared" si="96"/>
        <v>7.1220000000000008</v>
      </c>
      <c r="D1257" s="2">
        <f t="shared" si="97"/>
        <v>-4.684474736060598E-3</v>
      </c>
      <c r="E1257" s="2">
        <f t="shared" si="99"/>
        <v>3.3720925491648263E-2</v>
      </c>
      <c r="F1257" s="2">
        <f t="shared" si="98"/>
        <v>0.17614424208181817</v>
      </c>
      <c r="G1257" s="2">
        <f t="shared" si="95"/>
        <v>0.17614424208181817</v>
      </c>
    </row>
    <row r="1258" spans="1:7" x14ac:dyDescent="0.25">
      <c r="A1258" s="18">
        <v>25.1</v>
      </c>
      <c r="B1258" s="2">
        <v>-5.7079999999999999E-2</v>
      </c>
      <c r="C1258" s="2">
        <f t="shared" si="96"/>
        <v>11.416</v>
      </c>
      <c r="D1258" s="2">
        <f t="shared" si="97"/>
        <v>-3.1861762330551392E-3</v>
      </c>
      <c r="E1258" s="2">
        <f t="shared" si="99"/>
        <v>3.5696020154318289E-2</v>
      </c>
      <c r="F1258" s="2">
        <f t="shared" si="98"/>
        <v>0.15266528699165499</v>
      </c>
      <c r="G1258" s="2">
        <f t="shared" si="95"/>
        <v>0.15266528699165499</v>
      </c>
    </row>
    <row r="1259" spans="1:7" x14ac:dyDescent="0.25">
      <c r="A1259" s="18">
        <v>25.12</v>
      </c>
      <c r="B1259" s="2">
        <v>-7.8549999999999995E-2</v>
      </c>
      <c r="C1259" s="2">
        <f t="shared" si="96"/>
        <v>15.709999999999999</v>
      </c>
      <c r="D1259" s="2">
        <f t="shared" si="97"/>
        <v>-1.6268116152530184E-3</v>
      </c>
      <c r="E1259" s="2">
        <f t="shared" si="99"/>
        <v>3.745746257513647E-2</v>
      </c>
      <c r="F1259" s="2">
        <f t="shared" si="98"/>
        <v>0.12735434845759097</v>
      </c>
      <c r="G1259" s="2">
        <f t="shared" si="95"/>
        <v>0.12735434845759097</v>
      </c>
    </row>
    <row r="1260" spans="1:7" x14ac:dyDescent="0.25">
      <c r="A1260" s="18">
        <v>25.14</v>
      </c>
      <c r="B1260" s="2">
        <v>-6.3039999999999999E-2</v>
      </c>
      <c r="C1260" s="2">
        <f t="shared" si="96"/>
        <v>12.608000000000001</v>
      </c>
      <c r="D1260" s="2">
        <f t="shared" si="97"/>
        <v>-1.6505258067861177E-5</v>
      </c>
      <c r="E1260" s="2">
        <f t="shared" si="99"/>
        <v>3.8984115445053022E-2</v>
      </c>
      <c r="F1260" s="2">
        <f t="shared" si="98"/>
        <v>6.3535157742035234E-2</v>
      </c>
      <c r="G1260" s="2">
        <f t="shared" si="95"/>
        <v>6.3535157742035234E-2</v>
      </c>
    </row>
    <row r="1261" spans="1:7" x14ac:dyDescent="0.25">
      <c r="A1261" s="18">
        <v>25.16</v>
      </c>
      <c r="B1261" s="2">
        <v>-4.7530000000000003E-2</v>
      </c>
      <c r="C1261" s="2">
        <f t="shared" si="96"/>
        <v>9.5060000000000002</v>
      </c>
      <c r="D1261" s="2">
        <f t="shared" si="97"/>
        <v>1.6192151622141102E-3</v>
      </c>
      <c r="E1261" s="2">
        <f t="shared" si="99"/>
        <v>4.0257658929628931E-2</v>
      </c>
      <c r="F1261" s="2">
        <f t="shared" si="98"/>
        <v>-1.0464548664233797E-3</v>
      </c>
      <c r="G1261" s="2">
        <f t="shared" si="95"/>
        <v>-1.0464548664233797E-3</v>
      </c>
    </row>
    <row r="1262" spans="1:7" x14ac:dyDescent="0.25">
      <c r="A1262" s="18">
        <v>25.18</v>
      </c>
      <c r="B1262" s="2">
        <v>-3.2030000000000003E-2</v>
      </c>
      <c r="C1262" s="2">
        <f t="shared" si="96"/>
        <v>6.4060000000000006</v>
      </c>
      <c r="D1262" s="2">
        <f t="shared" si="97"/>
        <v>3.2545170005495124E-3</v>
      </c>
      <c r="E1262" s="2">
        <f t="shared" si="99"/>
        <v>4.0893010507049285E-2</v>
      </c>
      <c r="F1262" s="2">
        <f t="shared" si="98"/>
        <v>-6.5605510016484597E-2</v>
      </c>
      <c r="G1262" s="2">
        <f t="shared" si="95"/>
        <v>-6.5605510016484597E-2</v>
      </c>
    </row>
    <row r="1263" spans="1:7" x14ac:dyDescent="0.25">
      <c r="A1263" s="18">
        <v>25.2</v>
      </c>
      <c r="B1263" s="2">
        <v>-1.652E-2</v>
      </c>
      <c r="C1263" s="2">
        <f t="shared" si="96"/>
        <v>3.3039999999999998</v>
      </c>
      <c r="D1263" s="2">
        <f t="shared" si="97"/>
        <v>4.8635766348783206E-3</v>
      </c>
      <c r="E1263" s="2">
        <f t="shared" si="99"/>
        <v>4.0882545958385051E-2</v>
      </c>
      <c r="F1263" s="2">
        <f t="shared" si="98"/>
        <v>-0.12938729904635313</v>
      </c>
      <c r="G1263" s="2">
        <f t="shared" si="95"/>
        <v>-0.12938729904635313</v>
      </c>
    </row>
    <row r="1264" spans="1:7" x14ac:dyDescent="0.25">
      <c r="A1264" s="18">
        <v>25.22</v>
      </c>
      <c r="B1264" s="2">
        <v>-1.0200000000000001E-3</v>
      </c>
      <c r="C1264" s="2">
        <f t="shared" si="96"/>
        <v>0.20400000000000001</v>
      </c>
      <c r="D1264" s="2">
        <f t="shared" si="97"/>
        <v>6.4208813495885879E-3</v>
      </c>
      <c r="E1264" s="2">
        <f t="shared" si="99"/>
        <v>4.02264908582202E-2</v>
      </c>
      <c r="F1264" s="2">
        <f t="shared" si="98"/>
        <v>-0.19160644048765976</v>
      </c>
      <c r="G1264" s="2">
        <f t="shared" si="95"/>
        <v>-0.19160644048765976</v>
      </c>
    </row>
    <row r="1265" spans="1:7" x14ac:dyDescent="0.25">
      <c r="A1265" s="18">
        <v>25.24</v>
      </c>
      <c r="B1265" s="2">
        <v>9.2200000000000008E-3</v>
      </c>
      <c r="C1265" s="2">
        <f t="shared" si="96"/>
        <v>-1.8440000000000001</v>
      </c>
      <c r="D1265" s="2">
        <f t="shared" si="97"/>
        <v>7.9015434881037922E-3</v>
      </c>
      <c r="E1265" s="2">
        <f t="shared" si="99"/>
        <v>3.8932617867756682E-2</v>
      </c>
      <c r="F1265" s="2">
        <f t="shared" si="98"/>
        <v>-0.24626630464311647</v>
      </c>
      <c r="G1265" s="2">
        <f t="shared" si="95"/>
        <v>-0.24626630464311647</v>
      </c>
    </row>
    <row r="1266" spans="1:7" x14ac:dyDescent="0.25">
      <c r="A1266" s="18">
        <v>25.26</v>
      </c>
      <c r="B1266" s="2">
        <v>1.9460000000000002E-2</v>
      </c>
      <c r="C1266" s="2">
        <f t="shared" si="96"/>
        <v>-3.8920000000000003</v>
      </c>
      <c r="D1266" s="2">
        <f t="shared" si="97"/>
        <v>9.2836991047617508E-3</v>
      </c>
      <c r="E1266" s="2">
        <f t="shared" si="99"/>
        <v>3.701655346288011E-2</v>
      </c>
      <c r="F1266" s="2">
        <f t="shared" si="98"/>
        <v>-0.29797097314284476</v>
      </c>
      <c r="G1266" s="2">
        <f t="shared" si="95"/>
        <v>-0.29797097314284476</v>
      </c>
    </row>
    <row r="1267" spans="1:7" x14ac:dyDescent="0.25">
      <c r="A1267" s="18">
        <v>25.28</v>
      </c>
      <c r="B1267" s="2">
        <v>2.9700000000000001E-2</v>
      </c>
      <c r="C1267" s="2">
        <f t="shared" si="96"/>
        <v>-5.94</v>
      </c>
      <c r="D1267" s="2">
        <f t="shared" si="97"/>
        <v>1.0546666332162571E-2</v>
      </c>
      <c r="E1267" s="2">
        <f t="shared" si="99"/>
        <v>3.4553890416448962E-2</v>
      </c>
      <c r="F1267" s="2">
        <f t="shared" si="98"/>
        <v>-0.34609998996487645</v>
      </c>
      <c r="G1267" s="2">
        <f t="shared" si="95"/>
        <v>-0.34609998996487645</v>
      </c>
    </row>
    <row r="1268" spans="1:7" x14ac:dyDescent="0.25">
      <c r="A1268" s="18">
        <v>25.3</v>
      </c>
      <c r="B1268" s="2">
        <v>3.993E-2</v>
      </c>
      <c r="C1268" s="2">
        <f t="shared" si="96"/>
        <v>-7.9859999999999998</v>
      </c>
      <c r="D1268" s="2">
        <f t="shared" si="97"/>
        <v>1.1671193563577442E-2</v>
      </c>
      <c r="E1268" s="2">
        <f t="shared" si="99"/>
        <v>3.1574180685020513E-2</v>
      </c>
      <c r="F1268" s="2">
        <f t="shared" si="98"/>
        <v>-0.39006580690732762</v>
      </c>
      <c r="G1268" s="2">
        <f t="shared" si="95"/>
        <v>-0.39006580690732762</v>
      </c>
    </row>
    <row r="1269" spans="1:7" x14ac:dyDescent="0.25">
      <c r="A1269" s="18">
        <v>25.32</v>
      </c>
      <c r="B1269" s="2">
        <v>5.0169999999999999E-2</v>
      </c>
      <c r="C1269" s="2">
        <f t="shared" si="96"/>
        <v>-10.034000000000001</v>
      </c>
      <c r="D1269" s="2">
        <f t="shared" si="97"/>
        <v>1.2639694472229381E-2</v>
      </c>
      <c r="E1269" s="2">
        <f t="shared" si="99"/>
        <v>2.8113180785371752E-2</v>
      </c>
      <c r="F1269" s="2">
        <f t="shared" si="98"/>
        <v>-0.42936083416687981</v>
      </c>
      <c r="G1269" s="2">
        <f t="shared" si="95"/>
        <v>-0.42936083416687981</v>
      </c>
    </row>
    <row r="1270" spans="1:7" x14ac:dyDescent="0.25">
      <c r="A1270" s="18">
        <v>25.34</v>
      </c>
      <c r="B1270" s="2">
        <v>6.0409999999999998E-2</v>
      </c>
      <c r="C1270" s="2">
        <f t="shared" si="96"/>
        <v>-12.081999999999999</v>
      </c>
      <c r="D1270" s="2">
        <f t="shared" si="97"/>
        <v>1.3436451047214568E-2</v>
      </c>
      <c r="E1270" s="2">
        <f t="shared" si="99"/>
        <v>2.4212522716298476E-2</v>
      </c>
      <c r="F1270" s="2">
        <f t="shared" si="98"/>
        <v>-0.46350353141644085</v>
      </c>
      <c r="G1270" s="2">
        <f t="shared" si="95"/>
        <v>-0.46350353141644085</v>
      </c>
    </row>
    <row r="1271" spans="1:7" x14ac:dyDescent="0.25">
      <c r="A1271" s="18">
        <v>25.36</v>
      </c>
      <c r="B1271" s="2">
        <v>7.0650000000000004E-2</v>
      </c>
      <c r="C1271" s="2">
        <f t="shared" si="96"/>
        <v>-14.13</v>
      </c>
      <c r="D1271" s="2">
        <f t="shared" si="97"/>
        <v>1.4047806209633178E-2</v>
      </c>
      <c r="E1271" s="2">
        <f t="shared" si="99"/>
        <v>1.9918914374629677E-2</v>
      </c>
      <c r="F1271" s="2">
        <f t="shared" si="98"/>
        <v>-0.49208418628899142</v>
      </c>
      <c r="G1271" s="2">
        <f t="shared" si="95"/>
        <v>-0.49208418628899142</v>
      </c>
    </row>
    <row r="1272" spans="1:7" x14ac:dyDescent="0.25">
      <c r="A1272" s="18">
        <v>25.38</v>
      </c>
      <c r="B1272" s="2">
        <v>8.0890000000000004E-2</v>
      </c>
      <c r="C1272" s="2">
        <f t="shared" si="96"/>
        <v>-16.178000000000001</v>
      </c>
      <c r="D1272" s="2">
        <f t="shared" si="97"/>
        <v>1.4462327697536193E-2</v>
      </c>
      <c r="E1272" s="2">
        <f t="shared" si="99"/>
        <v>1.5283879060465268E-2</v>
      </c>
      <c r="F1272" s="2">
        <f t="shared" si="98"/>
        <v>-0.51475983092608235</v>
      </c>
      <c r="G1272" s="2">
        <f t="shared" si="95"/>
        <v>-0.51475983092608235</v>
      </c>
    </row>
    <row r="1273" spans="1:7" x14ac:dyDescent="0.25">
      <c r="A1273" s="18">
        <v>25.4</v>
      </c>
      <c r="B1273" s="2">
        <v>-1.92E-3</v>
      </c>
      <c r="C1273" s="2">
        <f t="shared" si="96"/>
        <v>0.38400000000000001</v>
      </c>
      <c r="D1273" s="2">
        <f t="shared" si="97"/>
        <v>1.4670945253068774E-2</v>
      </c>
      <c r="E1273" s="2">
        <f t="shared" si="99"/>
        <v>1.0363037197575354E-2</v>
      </c>
      <c r="F1273" s="2">
        <f t="shared" si="98"/>
        <v>-0.438208357592066</v>
      </c>
      <c r="G1273" s="2">
        <f t="shared" si="95"/>
        <v>-0.438208357592066</v>
      </c>
    </row>
    <row r="1274" spans="1:7" x14ac:dyDescent="0.25">
      <c r="A1274" s="18">
        <v>25.42</v>
      </c>
      <c r="B1274" s="2">
        <v>-8.473E-2</v>
      </c>
      <c r="C1274" s="2">
        <f t="shared" si="96"/>
        <v>16.946000000000002</v>
      </c>
      <c r="D1274" s="2">
        <f t="shared" si="97"/>
        <v>1.4704279465564529E-2</v>
      </c>
      <c r="E1274" s="2">
        <f t="shared" si="99"/>
        <v>5.2154388883145306E-3</v>
      </c>
      <c r="F1274" s="2">
        <f t="shared" si="98"/>
        <v>-0.35639838396693718</v>
      </c>
      <c r="G1274" s="2">
        <f t="shared" si="95"/>
        <v>-0.35639838396693718</v>
      </c>
    </row>
    <row r="1275" spans="1:7" x14ac:dyDescent="0.25">
      <c r="A1275" s="18">
        <v>25.44</v>
      </c>
      <c r="B1275" s="2">
        <v>-7.0319999999999994E-2</v>
      </c>
      <c r="C1275" s="2">
        <f t="shared" si="96"/>
        <v>14.063999999999998</v>
      </c>
      <c r="D1275" s="2">
        <f t="shared" si="97"/>
        <v>1.4595054324473508E-2</v>
      </c>
      <c r="E1275" s="2">
        <f t="shared" si="99"/>
        <v>8.3335531239387035E-4</v>
      </c>
      <c r="F1275" s="2">
        <f t="shared" si="98"/>
        <v>-0.36753162973419962</v>
      </c>
      <c r="G1275" s="2">
        <f t="shared" si="95"/>
        <v>-0.36753162973419962</v>
      </c>
    </row>
    <row r="1276" spans="1:7" x14ac:dyDescent="0.25">
      <c r="A1276" s="18">
        <v>25.46</v>
      </c>
      <c r="B1276" s="2">
        <v>-5.5899999999999998E-2</v>
      </c>
      <c r="C1276" s="2">
        <f t="shared" si="96"/>
        <v>11.18</v>
      </c>
      <c r="D1276" s="2">
        <f t="shared" si="97"/>
        <v>1.4338816531488809E-2</v>
      </c>
      <c r="E1276" s="2">
        <f t="shared" si="99"/>
        <v>-2.7306285272755016E-3</v>
      </c>
      <c r="F1276" s="2">
        <f t="shared" si="98"/>
        <v>-0.37426449594466382</v>
      </c>
      <c r="G1276" s="2">
        <f t="shared" si="95"/>
        <v>-0.37426449594466382</v>
      </c>
    </row>
    <row r="1277" spans="1:7" x14ac:dyDescent="0.25">
      <c r="A1277" s="18">
        <v>25.48</v>
      </c>
      <c r="B1277" s="2">
        <v>-4.1480000000000003E-2</v>
      </c>
      <c r="C1277" s="2">
        <f t="shared" si="96"/>
        <v>8.2960000000000012</v>
      </c>
      <c r="D1277" s="2">
        <f t="shared" si="97"/>
        <v>1.3932872940126243E-2</v>
      </c>
      <c r="E1277" s="2">
        <f t="shared" si="99"/>
        <v>-6.4059448246174978E-3</v>
      </c>
      <c r="F1277" s="2">
        <f t="shared" si="98"/>
        <v>-0.37650618820378801</v>
      </c>
      <c r="G1277" s="2">
        <f t="shared" si="95"/>
        <v>-0.37650618820378801</v>
      </c>
    </row>
    <row r="1278" spans="1:7" x14ac:dyDescent="0.25">
      <c r="A1278" s="18">
        <v>25.5</v>
      </c>
      <c r="B1278" s="2">
        <v>-5.296E-2</v>
      </c>
      <c r="C1278" s="2">
        <f t="shared" si="96"/>
        <v>10.592000000000001</v>
      </c>
      <c r="D1278" s="2">
        <f t="shared" si="97"/>
        <v>1.3376326873482162E-2</v>
      </c>
      <c r="E1278" s="2">
        <f t="shared" si="99"/>
        <v>-1.0148589784064136E-2</v>
      </c>
      <c r="F1278" s="2">
        <f t="shared" si="98"/>
        <v>-0.34832980620446219</v>
      </c>
      <c r="G1278" s="2">
        <f t="shared" si="95"/>
        <v>-0.34832980620446219</v>
      </c>
    </row>
    <row r="1279" spans="1:7" x14ac:dyDescent="0.25">
      <c r="A1279" s="18">
        <v>25.52</v>
      </c>
      <c r="B1279" s="2">
        <v>-6.4430000000000001E-2</v>
      </c>
      <c r="C1279" s="2">
        <f t="shared" si="96"/>
        <v>12.886000000000001</v>
      </c>
      <c r="D1279" s="2">
        <f t="shared" si="97"/>
        <v>1.2680448884356297E-2</v>
      </c>
      <c r="E1279" s="2">
        <f t="shared" si="99"/>
        <v>-1.3913651666102016E-2</v>
      </c>
      <c r="F1279" s="2">
        <f t="shared" si="98"/>
        <v>-0.31598346653068532</v>
      </c>
      <c r="G1279" s="2">
        <f t="shared" si="95"/>
        <v>-0.31598346653068532</v>
      </c>
    </row>
    <row r="1280" spans="1:7" x14ac:dyDescent="0.25">
      <c r="A1280" s="18">
        <v>25.54</v>
      </c>
      <c r="B1280" s="2">
        <v>-7.5899999999999995E-2</v>
      </c>
      <c r="C1280" s="2">
        <f t="shared" si="96"/>
        <v>15.18</v>
      </c>
      <c r="D1280" s="2">
        <f t="shared" si="97"/>
        <v>1.1858177508618157E-2</v>
      </c>
      <c r="E1280" s="2">
        <f t="shared" si="99"/>
        <v>-1.7396949728146639E-2</v>
      </c>
      <c r="F1280" s="2">
        <f t="shared" si="98"/>
        <v>-0.27984532525854139</v>
      </c>
      <c r="G1280" s="2">
        <f t="shared" si="95"/>
        <v>-0.27984532525854139</v>
      </c>
    </row>
    <row r="1281" spans="1:7" x14ac:dyDescent="0.25">
      <c r="A1281" s="18">
        <v>25.56</v>
      </c>
      <c r="B1281" s="2">
        <v>-8.7379999999999999E-2</v>
      </c>
      <c r="C1281" s="2">
        <f t="shared" si="96"/>
        <v>17.475999999999999</v>
      </c>
      <c r="D1281" s="2">
        <f t="shared" si="97"/>
        <v>1.0923968002776601E-2</v>
      </c>
      <c r="E1281" s="2">
        <f t="shared" si="99"/>
        <v>-2.055678439345349E-2</v>
      </c>
      <c r="F1281" s="2">
        <f t="shared" si="98"/>
        <v>-0.24033904008329257</v>
      </c>
      <c r="G1281" s="2">
        <f t="shared" si="95"/>
        <v>-0.24033904008329257</v>
      </c>
    </row>
    <row r="1282" spans="1:7" x14ac:dyDescent="0.25">
      <c r="A1282" s="18">
        <v>25.58</v>
      </c>
      <c r="B1282" s="2">
        <v>-9.8849999999999993E-2</v>
      </c>
      <c r="C1282" s="2">
        <f t="shared" si="96"/>
        <v>19.77</v>
      </c>
      <c r="D1282" s="2">
        <f t="shared" si="97"/>
        <v>9.8936228809017278E-3</v>
      </c>
      <c r="E1282" s="2">
        <f t="shared" si="99"/>
        <v>-2.3355237646038904E-2</v>
      </c>
      <c r="F1282" s="2">
        <f t="shared" si="98"/>
        <v>-0.19795868642705042</v>
      </c>
      <c r="G1282" s="2">
        <f t="shared" ref="G1282:G1345" si="100">HLOOKUP($Y$3,$B$1:$F$1562,ROW(),0)</f>
        <v>-0.19795868642705042</v>
      </c>
    </row>
    <row r="1283" spans="1:7" x14ac:dyDescent="0.25">
      <c r="A1283" s="18">
        <v>25.6</v>
      </c>
      <c r="B1283" s="2">
        <v>-6.7979999999999999E-2</v>
      </c>
      <c r="C1283" s="2">
        <f t="shared" ref="C1283:C1346" si="101">-$M$4*B1283</f>
        <v>13.596</v>
      </c>
      <c r="D1283" s="2">
        <f t="shared" si="97"/>
        <v>8.7840942844560344E-3</v>
      </c>
      <c r="E1283" s="2">
        <f t="shared" si="99"/>
        <v>-2.5758628046871831E-2</v>
      </c>
      <c r="F1283" s="2">
        <f t="shared" si="98"/>
        <v>-0.19554282853368299</v>
      </c>
      <c r="G1283" s="2">
        <f t="shared" si="100"/>
        <v>-0.19554282853368299</v>
      </c>
    </row>
    <row r="1284" spans="1:7" x14ac:dyDescent="0.25">
      <c r="A1284" s="18">
        <v>25.62</v>
      </c>
      <c r="B1284" s="2">
        <v>-3.7100000000000001E-2</v>
      </c>
      <c r="C1284" s="2">
        <f t="shared" si="101"/>
        <v>7.42</v>
      </c>
      <c r="D1284" s="2">
        <f t="shared" ref="D1284:D1347" si="102">(C1283-($Q$6*D1283)-($Q$7*D1282))/$Q$5</f>
        <v>7.5963485565968677E-3</v>
      </c>
      <c r="E1284" s="2">
        <f t="shared" si="99"/>
        <v>-2.7738214911142336E-2</v>
      </c>
      <c r="F1284" s="2">
        <f t="shared" ref="F1284:F1347" si="103">(D1283-2*D1284+D1285)/($A$4^2)</f>
        <v>-0.19079045669790401</v>
      </c>
      <c r="G1284" s="2">
        <f t="shared" si="100"/>
        <v>-0.19079045669790401</v>
      </c>
    </row>
    <row r="1285" spans="1:7" x14ac:dyDescent="0.25">
      <c r="A1285" s="18">
        <v>25.64</v>
      </c>
      <c r="B1285" s="2">
        <v>-6.2300000000000003E-3</v>
      </c>
      <c r="C1285" s="2">
        <f t="shared" si="101"/>
        <v>1.246</v>
      </c>
      <c r="D1285" s="2">
        <f t="shared" si="102"/>
        <v>6.3322866460585395E-3</v>
      </c>
      <c r="E1285" s="2">
        <f t="shared" ref="E1285:E1348" si="104">(D1284-D1283)/(2*$A$4)</f>
        <v>-2.9693643196479165E-2</v>
      </c>
      <c r="F1285" s="2">
        <f t="shared" si="103"/>
        <v>-0.18373859938175485</v>
      </c>
      <c r="G1285" s="2">
        <f t="shared" si="100"/>
        <v>-0.18373859938175485</v>
      </c>
    </row>
    <row r="1286" spans="1:7" x14ac:dyDescent="0.25">
      <c r="A1286" s="18">
        <v>25.66</v>
      </c>
      <c r="B1286" s="2">
        <v>2.4649999999999998E-2</v>
      </c>
      <c r="C1286" s="2">
        <f t="shared" si="101"/>
        <v>-4.93</v>
      </c>
      <c r="D1286" s="2">
        <f t="shared" si="102"/>
        <v>4.9947292957675093E-3</v>
      </c>
      <c r="E1286" s="2">
        <f t="shared" si="104"/>
        <v>-3.1601547763458207E-2</v>
      </c>
      <c r="F1286" s="2">
        <f t="shared" si="103"/>
        <v>-0.17449187887302831</v>
      </c>
      <c r="G1286" s="2">
        <f t="shared" si="100"/>
        <v>-0.17449187887302831</v>
      </c>
    </row>
    <row r="1287" spans="1:7" x14ac:dyDescent="0.25">
      <c r="A1287" s="18">
        <v>25.68</v>
      </c>
      <c r="B1287" s="2">
        <v>5.5530000000000003E-2</v>
      </c>
      <c r="C1287" s="2">
        <f t="shared" si="101"/>
        <v>-11.106</v>
      </c>
      <c r="D1287" s="2">
        <f t="shared" si="102"/>
        <v>3.5873751939272678E-3</v>
      </c>
      <c r="E1287" s="2">
        <f t="shared" si="104"/>
        <v>-3.3438933757275753E-2</v>
      </c>
      <c r="F1287" s="2">
        <f t="shared" si="103"/>
        <v>-0.16315125581781881</v>
      </c>
      <c r="G1287" s="2">
        <f t="shared" si="100"/>
        <v>-0.16315125581781881</v>
      </c>
    </row>
    <row r="1288" spans="1:7" x14ac:dyDescent="0.25">
      <c r="A1288" s="18">
        <v>25.7</v>
      </c>
      <c r="B1288" s="2">
        <v>8.6400000000000005E-2</v>
      </c>
      <c r="C1288" s="2">
        <f t="shared" si="101"/>
        <v>-17.28</v>
      </c>
      <c r="D1288" s="2">
        <f t="shared" si="102"/>
        <v>2.1147605897598987E-3</v>
      </c>
      <c r="E1288" s="2">
        <f t="shared" si="104"/>
        <v>-3.5183852546006041E-2</v>
      </c>
      <c r="F1288" s="2">
        <f t="shared" si="103"/>
        <v>-0.14984281769279759</v>
      </c>
      <c r="G1288" s="2">
        <f t="shared" si="100"/>
        <v>-0.14984281769279759</v>
      </c>
    </row>
    <row r="1289" spans="1:7" x14ac:dyDescent="0.25">
      <c r="A1289" s="18">
        <v>25.72</v>
      </c>
      <c r="B1289" s="2">
        <v>0.11728</v>
      </c>
      <c r="C1289" s="2">
        <f t="shared" si="101"/>
        <v>-23.456</v>
      </c>
      <c r="D1289" s="2">
        <f t="shared" si="102"/>
        <v>5.8220885851541064E-4</v>
      </c>
      <c r="E1289" s="2">
        <f t="shared" si="104"/>
        <v>-3.6815365104184226E-2</v>
      </c>
      <c r="F1289" s="2">
        <f t="shared" si="103"/>
        <v>-0.13474626575546247</v>
      </c>
      <c r="G1289" s="2">
        <f t="shared" si="100"/>
        <v>-0.13474626575546247</v>
      </c>
    </row>
    <row r="1290" spans="1:7" x14ac:dyDescent="0.25">
      <c r="A1290" s="18">
        <v>25.74</v>
      </c>
      <c r="B1290" s="2">
        <v>0.14815</v>
      </c>
      <c r="C1290" s="2">
        <f t="shared" si="101"/>
        <v>-29.630000000000003</v>
      </c>
      <c r="D1290" s="2">
        <f t="shared" si="102"/>
        <v>-1.0042413790312624E-3</v>
      </c>
      <c r="E1290" s="2">
        <f t="shared" si="104"/>
        <v>-3.8313793281112202E-2</v>
      </c>
      <c r="F1290" s="2">
        <f t="shared" si="103"/>
        <v>-0.11802275862906296</v>
      </c>
      <c r="G1290" s="2">
        <f t="shared" si="100"/>
        <v>-0.11802275862906296</v>
      </c>
    </row>
    <row r="1291" spans="1:7" x14ac:dyDescent="0.25">
      <c r="A1291" s="18">
        <v>25.76</v>
      </c>
      <c r="B1291" s="2">
        <v>8.7150000000000005E-2</v>
      </c>
      <c r="C1291" s="2">
        <f t="shared" si="101"/>
        <v>-17.43</v>
      </c>
      <c r="D1291" s="2">
        <f t="shared" si="102"/>
        <v>-2.6379007200295606E-3</v>
      </c>
      <c r="E1291" s="2">
        <f t="shared" si="104"/>
        <v>-3.9661255938666824E-2</v>
      </c>
      <c r="F1291" s="2">
        <f t="shared" si="103"/>
        <v>-8.0129783991129792E-3</v>
      </c>
      <c r="G1291" s="2">
        <f t="shared" si="100"/>
        <v>-8.0129783991129792E-3</v>
      </c>
    </row>
    <row r="1292" spans="1:7" x14ac:dyDescent="0.25">
      <c r="A1292" s="18">
        <v>25.78</v>
      </c>
      <c r="B1292" s="2">
        <v>2.615E-2</v>
      </c>
      <c r="C1292" s="2">
        <f t="shared" si="101"/>
        <v>-5.2299999999999995</v>
      </c>
      <c r="D1292" s="2">
        <f t="shared" si="102"/>
        <v>-4.2747652523875039E-3</v>
      </c>
      <c r="E1292" s="2">
        <f t="shared" si="104"/>
        <v>-4.084148352495745E-2</v>
      </c>
      <c r="F1292" s="2">
        <f t="shared" si="103"/>
        <v>0.10209295757162423</v>
      </c>
      <c r="G1292" s="2">
        <f t="shared" si="100"/>
        <v>0.10209295757162423</v>
      </c>
    </row>
    <row r="1293" spans="1:7" x14ac:dyDescent="0.25">
      <c r="A1293" s="18">
        <v>25.8</v>
      </c>
      <c r="B1293" s="2">
        <v>-3.4849999999999999E-2</v>
      </c>
      <c r="C1293" s="2">
        <f t="shared" si="101"/>
        <v>6.97</v>
      </c>
      <c r="D1293" s="2">
        <f t="shared" si="102"/>
        <v>-5.8707926017167976E-3</v>
      </c>
      <c r="E1293" s="2">
        <f t="shared" si="104"/>
        <v>-4.0921613308948585E-2</v>
      </c>
      <c r="F1293" s="2">
        <f t="shared" si="103"/>
        <v>0.21097377805150314</v>
      </c>
      <c r="G1293" s="2">
        <f t="shared" si="100"/>
        <v>0.21097377805150314</v>
      </c>
    </row>
    <row r="1294" spans="1:7" x14ac:dyDescent="0.25">
      <c r="A1294" s="18">
        <v>25.82</v>
      </c>
      <c r="B1294" s="2">
        <v>-9.5839999999999995E-2</v>
      </c>
      <c r="C1294" s="2">
        <f t="shared" si="101"/>
        <v>19.167999999999999</v>
      </c>
      <c r="D1294" s="2">
        <f t="shared" si="102"/>
        <v>-7.38243043982549E-3</v>
      </c>
      <c r="E1294" s="2">
        <f t="shared" si="104"/>
        <v>-3.9900683733232342E-2</v>
      </c>
      <c r="F1294" s="2">
        <f t="shared" si="103"/>
        <v>0.31731291319476473</v>
      </c>
      <c r="G1294" s="2">
        <f t="shared" si="100"/>
        <v>0.31731291319476473</v>
      </c>
    </row>
    <row r="1295" spans="1:7" x14ac:dyDescent="0.25">
      <c r="A1295" s="18">
        <v>25.84</v>
      </c>
      <c r="B1295" s="2">
        <v>-7.0999999999999994E-2</v>
      </c>
      <c r="C1295" s="2">
        <f t="shared" si="101"/>
        <v>14.2</v>
      </c>
      <c r="D1295" s="2">
        <f t="shared" si="102"/>
        <v>-8.7671431126562765E-3</v>
      </c>
      <c r="E1295" s="2">
        <f t="shared" si="104"/>
        <v>-3.7790945952717307E-2</v>
      </c>
      <c r="F1295" s="2">
        <f t="shared" si="103"/>
        <v>0.33401429337969429</v>
      </c>
      <c r="G1295" s="2">
        <f t="shared" si="100"/>
        <v>0.33401429337969429</v>
      </c>
    </row>
    <row r="1296" spans="1:7" x14ac:dyDescent="0.25">
      <c r="A1296" s="18">
        <v>25.86</v>
      </c>
      <c r="B1296" s="2">
        <v>-4.616E-2</v>
      </c>
      <c r="C1296" s="2">
        <f t="shared" si="101"/>
        <v>9.2319999999999993</v>
      </c>
      <c r="D1296" s="2">
        <f t="shared" si="102"/>
        <v>-1.0018250068135184E-2</v>
      </c>
      <c r="E1296" s="2">
        <f t="shared" si="104"/>
        <v>-3.4617816820769663E-2</v>
      </c>
      <c r="F1296" s="2">
        <f t="shared" si="103"/>
        <v>0.34670750204405204</v>
      </c>
      <c r="G1296" s="2">
        <f t="shared" si="100"/>
        <v>0.34670750204405204</v>
      </c>
    </row>
    <row r="1297" spans="1:7" x14ac:dyDescent="0.25">
      <c r="A1297" s="18">
        <v>25.88</v>
      </c>
      <c r="B1297" s="2">
        <v>-2.1319999999999999E-2</v>
      </c>
      <c r="C1297" s="2">
        <f t="shared" si="101"/>
        <v>4.2639999999999993</v>
      </c>
      <c r="D1297" s="2">
        <f t="shared" si="102"/>
        <v>-1.1130674022796471E-2</v>
      </c>
      <c r="E1297" s="2">
        <f t="shared" si="104"/>
        <v>-3.1277673886972696E-2</v>
      </c>
      <c r="F1297" s="2">
        <f t="shared" si="103"/>
        <v>0.35524022068389532</v>
      </c>
      <c r="G1297" s="2">
        <f t="shared" si="100"/>
        <v>0.35524022068389532</v>
      </c>
    </row>
    <row r="1298" spans="1:7" x14ac:dyDescent="0.25">
      <c r="A1298" s="18">
        <v>25.9</v>
      </c>
      <c r="B1298" s="2">
        <v>3.5300000000000002E-3</v>
      </c>
      <c r="C1298" s="2">
        <f t="shared" si="101"/>
        <v>-0.70600000000000007</v>
      </c>
      <c r="D1298" s="2">
        <f t="shared" si="102"/>
        <v>-1.21010018891842E-2</v>
      </c>
      <c r="E1298" s="2">
        <f t="shared" si="104"/>
        <v>-2.7810598866532175E-2</v>
      </c>
      <c r="F1298" s="2">
        <f t="shared" si="103"/>
        <v>0.35950005667551799</v>
      </c>
      <c r="G1298" s="2">
        <f t="shared" si="100"/>
        <v>0.35950005667551799</v>
      </c>
    </row>
    <row r="1299" spans="1:7" x14ac:dyDescent="0.25">
      <c r="A1299" s="18">
        <v>25.92</v>
      </c>
      <c r="B1299" s="2">
        <v>2.8369999999999999E-2</v>
      </c>
      <c r="C1299" s="2">
        <f t="shared" si="101"/>
        <v>-5.6739999999999995</v>
      </c>
      <c r="D1299" s="2">
        <f t="shared" si="102"/>
        <v>-1.2927529732901722E-2</v>
      </c>
      <c r="E1299" s="2">
        <f t="shared" si="104"/>
        <v>-2.4258196659693223E-2</v>
      </c>
      <c r="F1299" s="2">
        <f t="shared" si="103"/>
        <v>0.35945589198704914</v>
      </c>
      <c r="G1299" s="2">
        <f t="shared" si="100"/>
        <v>0.35945589198704914</v>
      </c>
    </row>
    <row r="1300" spans="1:7" x14ac:dyDescent="0.25">
      <c r="A1300" s="18">
        <v>25.94</v>
      </c>
      <c r="B1300" s="2">
        <v>5.321E-2</v>
      </c>
      <c r="C1300" s="2">
        <f t="shared" si="101"/>
        <v>-10.641999999999999</v>
      </c>
      <c r="D1300" s="2">
        <f t="shared" si="102"/>
        <v>-1.3610275219824424E-2</v>
      </c>
      <c r="E1300" s="2">
        <f t="shared" si="104"/>
        <v>-2.0663196092938041E-2</v>
      </c>
      <c r="F1300" s="2">
        <f t="shared" si="103"/>
        <v>0.35509825659473054</v>
      </c>
      <c r="G1300" s="2">
        <f t="shared" si="100"/>
        <v>0.35509825659473054</v>
      </c>
    </row>
    <row r="1301" spans="1:7" x14ac:dyDescent="0.25">
      <c r="A1301" s="18">
        <v>25.96</v>
      </c>
      <c r="B1301" s="2">
        <v>-4.6899999999999997E-3</v>
      </c>
      <c r="C1301" s="2">
        <f t="shared" si="101"/>
        <v>0.93799999999999994</v>
      </c>
      <c r="D1301" s="2">
        <f t="shared" si="102"/>
        <v>-1.4150981404109234E-2</v>
      </c>
      <c r="E1301" s="2">
        <f t="shared" si="104"/>
        <v>-1.7068637173067551E-2</v>
      </c>
      <c r="F1301" s="2">
        <f t="shared" si="103"/>
        <v>0.42921944212327268</v>
      </c>
      <c r="G1301" s="2">
        <f t="shared" si="100"/>
        <v>0.42921944212327268</v>
      </c>
    </row>
    <row r="1302" spans="1:7" x14ac:dyDescent="0.25">
      <c r="A1302" s="18">
        <v>25.98</v>
      </c>
      <c r="B1302" s="2">
        <v>-6.2579999999999997E-2</v>
      </c>
      <c r="C1302" s="2">
        <f t="shared" si="101"/>
        <v>12.516</v>
      </c>
      <c r="D1302" s="2">
        <f t="shared" si="102"/>
        <v>-1.4519999811544735E-2</v>
      </c>
      <c r="E1302" s="2">
        <f t="shared" si="104"/>
        <v>-1.3517654607120245E-2</v>
      </c>
      <c r="F1302" s="2">
        <f t="shared" si="103"/>
        <v>0.49817999434634186</v>
      </c>
      <c r="G1302" s="2">
        <f t="shared" si="100"/>
        <v>0.49817999434634186</v>
      </c>
    </row>
    <row r="1303" spans="1:7" x14ac:dyDescent="0.25">
      <c r="A1303" s="18">
        <v>26</v>
      </c>
      <c r="B1303" s="2">
        <v>-0.12048</v>
      </c>
      <c r="C1303" s="2">
        <f t="shared" si="101"/>
        <v>24.096</v>
      </c>
      <c r="D1303" s="2">
        <f t="shared" si="102"/>
        <v>-1.4689746221241699E-2</v>
      </c>
      <c r="E1303" s="2">
        <f t="shared" si="104"/>
        <v>-9.2254601858875185E-3</v>
      </c>
      <c r="F1303" s="2">
        <f t="shared" si="103"/>
        <v>0.56117238663724689</v>
      </c>
      <c r="G1303" s="2">
        <f t="shared" si="100"/>
        <v>0.56117238663724689</v>
      </c>
    </row>
    <row r="1304" spans="1:7" x14ac:dyDescent="0.25">
      <c r="A1304" s="18">
        <v>26.02</v>
      </c>
      <c r="B1304" s="2">
        <v>-9.9599999999999994E-2</v>
      </c>
      <c r="C1304" s="2">
        <f t="shared" si="101"/>
        <v>19.919999999999998</v>
      </c>
      <c r="D1304" s="2">
        <f t="shared" si="102"/>
        <v>-1.4635023676283764E-2</v>
      </c>
      <c r="E1304" s="2">
        <f t="shared" si="104"/>
        <v>-4.2436602424240997E-3</v>
      </c>
      <c r="F1304" s="2">
        <f t="shared" si="103"/>
        <v>0.53865071028851796</v>
      </c>
      <c r="G1304" s="2">
        <f t="shared" si="100"/>
        <v>0.53865071028851796</v>
      </c>
    </row>
    <row r="1305" spans="1:7" x14ac:dyDescent="0.25">
      <c r="A1305" s="18">
        <v>26.04</v>
      </c>
      <c r="B1305" s="2">
        <v>-7.8719999999999998E-2</v>
      </c>
      <c r="C1305" s="2">
        <f t="shared" si="101"/>
        <v>15.744</v>
      </c>
      <c r="D1305" s="2">
        <f t="shared" si="102"/>
        <v>-1.4364840847210422E-2</v>
      </c>
      <c r="E1305" s="2">
        <f t="shared" si="104"/>
        <v>1.3680636239483696E-3</v>
      </c>
      <c r="F1305" s="2">
        <f t="shared" si="103"/>
        <v>0.50966522541631865</v>
      </c>
      <c r="G1305" s="2">
        <f t="shared" si="100"/>
        <v>0.50966522541631865</v>
      </c>
    </row>
    <row r="1306" spans="1:7" x14ac:dyDescent="0.25">
      <c r="A1306" s="18">
        <v>26.06</v>
      </c>
      <c r="B1306" s="2">
        <v>-5.7840000000000003E-2</v>
      </c>
      <c r="C1306" s="2">
        <f t="shared" si="101"/>
        <v>11.568000000000001</v>
      </c>
      <c r="D1306" s="2">
        <f t="shared" si="102"/>
        <v>-1.3890791927970552E-2</v>
      </c>
      <c r="E1306" s="2">
        <f t="shared" si="104"/>
        <v>6.7545707268335496E-3</v>
      </c>
      <c r="F1306" s="2">
        <f t="shared" si="103"/>
        <v>0.47456375783911336</v>
      </c>
      <c r="G1306" s="2">
        <f t="shared" si="100"/>
        <v>0.47456375783911336</v>
      </c>
    </row>
    <row r="1307" spans="1:7" x14ac:dyDescent="0.25">
      <c r="A1307" s="18">
        <v>26.08</v>
      </c>
      <c r="B1307" s="2">
        <v>-3.696E-2</v>
      </c>
      <c r="C1307" s="2">
        <f t="shared" si="101"/>
        <v>7.3920000000000003</v>
      </c>
      <c r="D1307" s="2">
        <f t="shared" si="102"/>
        <v>-1.3226917505595038E-2</v>
      </c>
      <c r="E1307" s="2">
        <f t="shared" si="104"/>
        <v>1.1851222980996737E-2</v>
      </c>
      <c r="F1307" s="2">
        <f t="shared" si="103"/>
        <v>0.43376752516784911</v>
      </c>
      <c r="G1307" s="2">
        <f t="shared" si="100"/>
        <v>0.43376752516784911</v>
      </c>
    </row>
    <row r="1308" spans="1:7" x14ac:dyDescent="0.25">
      <c r="A1308" s="18">
        <v>26.1</v>
      </c>
      <c r="B1308" s="2">
        <v>-1.6080000000000001E-2</v>
      </c>
      <c r="C1308" s="2">
        <f t="shared" si="101"/>
        <v>3.2160000000000002</v>
      </c>
      <c r="D1308" s="2">
        <f t="shared" si="102"/>
        <v>-1.2389536073152383E-2</v>
      </c>
      <c r="E1308" s="2">
        <f t="shared" si="104"/>
        <v>1.6596860559387871E-2</v>
      </c>
      <c r="F1308" s="2">
        <f t="shared" si="103"/>
        <v>0.38776608219457787</v>
      </c>
      <c r="G1308" s="2">
        <f t="shared" si="100"/>
        <v>0.38776608219457787</v>
      </c>
    </row>
    <row r="1309" spans="1:7" x14ac:dyDescent="0.25">
      <c r="A1309" s="18">
        <v>26.12</v>
      </c>
      <c r="B1309" s="2">
        <v>4.7999999999999996E-3</v>
      </c>
      <c r="C1309" s="2">
        <f t="shared" si="101"/>
        <v>-0.96</v>
      </c>
      <c r="D1309" s="2">
        <f t="shared" si="102"/>
        <v>-1.1397048207831897E-2</v>
      </c>
      <c r="E1309" s="2">
        <f t="shared" si="104"/>
        <v>2.0934535811066361E-2</v>
      </c>
      <c r="F1309" s="2">
        <f t="shared" si="103"/>
        <v>0.33711144623496409</v>
      </c>
      <c r="G1309" s="2">
        <f t="shared" si="100"/>
        <v>0.33711144623496409</v>
      </c>
    </row>
    <row r="1310" spans="1:7" x14ac:dyDescent="0.25">
      <c r="A1310" s="18">
        <v>26.14</v>
      </c>
      <c r="B1310" s="2">
        <v>2.5680000000000001E-2</v>
      </c>
      <c r="C1310" s="2">
        <f t="shared" si="101"/>
        <v>-5.1360000000000001</v>
      </c>
      <c r="D1310" s="2">
        <f t="shared" si="102"/>
        <v>-1.0269715764017426E-2</v>
      </c>
      <c r="E1310" s="2">
        <f t="shared" si="104"/>
        <v>2.4812196633012141E-2</v>
      </c>
      <c r="F1310" s="2">
        <f t="shared" si="103"/>
        <v>0.28241147292052282</v>
      </c>
      <c r="G1310" s="2">
        <f t="shared" si="100"/>
        <v>0.28241147292052282</v>
      </c>
    </row>
    <row r="1311" spans="1:7" x14ac:dyDescent="0.25">
      <c r="A1311" s="18">
        <v>26.16</v>
      </c>
      <c r="B1311" s="2">
        <v>4.6559999999999997E-2</v>
      </c>
      <c r="C1311" s="2">
        <f t="shared" si="101"/>
        <v>-9.3119999999999994</v>
      </c>
      <c r="D1311" s="2">
        <f t="shared" si="102"/>
        <v>-9.0294187310347458E-3</v>
      </c>
      <c r="E1311" s="2">
        <f t="shared" si="104"/>
        <v>2.818331109536178E-2</v>
      </c>
      <c r="F1311" s="2">
        <f t="shared" si="103"/>
        <v>0.22432256193104672</v>
      </c>
      <c r="G1311" s="2">
        <f t="shared" si="100"/>
        <v>0.22432256193104672</v>
      </c>
    </row>
    <row r="1312" spans="1:7" x14ac:dyDescent="0.25">
      <c r="A1312" s="18">
        <v>26.18</v>
      </c>
      <c r="B1312" s="2">
        <v>6.744E-2</v>
      </c>
      <c r="C1312" s="2">
        <f t="shared" si="101"/>
        <v>-13.488</v>
      </c>
      <c r="D1312" s="2">
        <f t="shared" si="102"/>
        <v>-7.6993926732796467E-3</v>
      </c>
      <c r="E1312" s="2">
        <f t="shared" si="104"/>
        <v>3.100742582456701E-2</v>
      </c>
      <c r="F1312" s="2">
        <f t="shared" si="103"/>
        <v>0.16354178019838778</v>
      </c>
      <c r="G1312" s="2">
        <f t="shared" si="100"/>
        <v>0.16354178019838778</v>
      </c>
    </row>
    <row r="1313" spans="1:7" x14ac:dyDescent="0.25">
      <c r="A1313" s="18">
        <v>26.2</v>
      </c>
      <c r="B1313" s="2">
        <v>8.8319999999999996E-2</v>
      </c>
      <c r="C1313" s="2">
        <f t="shared" si="101"/>
        <v>-17.663999999999998</v>
      </c>
      <c r="D1313" s="2">
        <f t="shared" si="102"/>
        <v>-6.3039499034451925E-3</v>
      </c>
      <c r="E1313" s="2">
        <f t="shared" si="104"/>
        <v>3.3250651443877476E-2</v>
      </c>
      <c r="F1313" s="2">
        <f t="shared" si="103"/>
        <v>0.10079849710335807</v>
      </c>
      <c r="G1313" s="2">
        <f t="shared" si="100"/>
        <v>0.10079849710335807</v>
      </c>
    </row>
    <row r="1314" spans="1:7" x14ac:dyDescent="0.25">
      <c r="A1314" s="18">
        <v>26.22</v>
      </c>
      <c r="B1314" s="2">
        <v>0.10920000000000001</v>
      </c>
      <c r="C1314" s="2">
        <f t="shared" si="101"/>
        <v>-21.84</v>
      </c>
      <c r="D1314" s="2">
        <f t="shared" si="102"/>
        <v>-4.868187734769395E-3</v>
      </c>
      <c r="E1314" s="2">
        <f t="shared" si="104"/>
        <v>3.4886069245861358E-2</v>
      </c>
      <c r="F1314" s="2">
        <f t="shared" si="103"/>
        <v>3.6845632043081694E-2</v>
      </c>
      <c r="G1314" s="2">
        <f t="shared" si="100"/>
        <v>3.6845632043081694E-2</v>
      </c>
    </row>
    <row r="1315" spans="1:7" x14ac:dyDescent="0.25">
      <c r="A1315" s="18">
        <v>26.24</v>
      </c>
      <c r="B1315" s="2">
        <v>0.13008</v>
      </c>
      <c r="C1315" s="2">
        <f t="shared" si="101"/>
        <v>-26.016000000000002</v>
      </c>
      <c r="D1315" s="2">
        <f t="shared" si="102"/>
        <v>-3.4176873132763649E-3</v>
      </c>
      <c r="E1315" s="2">
        <f t="shared" si="104"/>
        <v>3.5894054216894934E-2</v>
      </c>
      <c r="F1315" s="2">
        <f t="shared" si="103"/>
        <v>-2.7549380601707679E-2</v>
      </c>
      <c r="G1315" s="2">
        <f t="shared" si="100"/>
        <v>-2.7549380601707679E-2</v>
      </c>
    </row>
    <row r="1316" spans="1:7" x14ac:dyDescent="0.25">
      <c r="A1316" s="18">
        <v>26.26</v>
      </c>
      <c r="B1316" s="2">
        <v>0.10995000000000001</v>
      </c>
      <c r="C1316" s="2">
        <f t="shared" si="101"/>
        <v>-21.990000000000002</v>
      </c>
      <c r="D1316" s="2">
        <f t="shared" si="102"/>
        <v>-1.9782066440240179E-3</v>
      </c>
      <c r="E1316" s="2">
        <f t="shared" si="104"/>
        <v>3.6262510537325751E-2</v>
      </c>
      <c r="F1316" s="2">
        <f t="shared" si="103"/>
        <v>-5.0603800679279852E-2</v>
      </c>
      <c r="G1316" s="2">
        <f t="shared" si="100"/>
        <v>-5.0603800679279852E-2</v>
      </c>
    </row>
    <row r="1317" spans="1:7" x14ac:dyDescent="0.25">
      <c r="A1317" s="18">
        <v>26.28</v>
      </c>
      <c r="B1317" s="2">
        <v>8.9819999999999997E-2</v>
      </c>
      <c r="C1317" s="2">
        <f t="shared" si="101"/>
        <v>-17.963999999999999</v>
      </c>
      <c r="D1317" s="2">
        <f t="shared" si="102"/>
        <v>-5.5896749504338275E-4</v>
      </c>
      <c r="E1317" s="2">
        <f t="shared" si="104"/>
        <v>3.5987016731308677E-2</v>
      </c>
      <c r="F1317" s="2">
        <f t="shared" si="103"/>
        <v>-7.3050975148699154E-2</v>
      </c>
      <c r="G1317" s="2">
        <f t="shared" si="100"/>
        <v>-7.3050975148699154E-2</v>
      </c>
    </row>
    <row r="1318" spans="1:7" x14ac:dyDescent="0.25">
      <c r="A1318" s="18">
        <v>26.3</v>
      </c>
      <c r="B1318" s="2">
        <v>6.9690000000000002E-2</v>
      </c>
      <c r="C1318" s="2">
        <f t="shared" si="101"/>
        <v>-13.938000000000001</v>
      </c>
      <c r="D1318" s="2">
        <f t="shared" si="102"/>
        <v>8.3105126387777268E-4</v>
      </c>
      <c r="E1318" s="2">
        <f t="shared" si="104"/>
        <v>3.5480978724515881E-2</v>
      </c>
      <c r="F1318" s="2">
        <f t="shared" si="103"/>
        <v>-9.4621537916333029E-2</v>
      </c>
      <c r="G1318" s="2">
        <f t="shared" si="100"/>
        <v>-9.4621537916333029E-2</v>
      </c>
    </row>
    <row r="1319" spans="1:7" x14ac:dyDescent="0.25">
      <c r="A1319" s="18">
        <v>26.32</v>
      </c>
      <c r="B1319" s="2">
        <v>4.9549999999999997E-2</v>
      </c>
      <c r="C1319" s="2">
        <f t="shared" si="101"/>
        <v>-9.91</v>
      </c>
      <c r="D1319" s="2">
        <f t="shared" si="102"/>
        <v>2.1832214076323948E-3</v>
      </c>
      <c r="E1319" s="2">
        <f t="shared" si="104"/>
        <v>3.4750468973028879E-2</v>
      </c>
      <c r="F1319" s="2">
        <f t="shared" si="103"/>
        <v>-0.11504664222897133</v>
      </c>
      <c r="G1319" s="2">
        <f t="shared" si="100"/>
        <v>-0.11504664222897133</v>
      </c>
    </row>
    <row r="1320" spans="1:7" x14ac:dyDescent="0.25">
      <c r="A1320" s="18">
        <v>26.34</v>
      </c>
      <c r="B1320" s="2">
        <v>4.0059999999999998E-2</v>
      </c>
      <c r="C1320" s="2">
        <f t="shared" si="101"/>
        <v>-8.0120000000000005</v>
      </c>
      <c r="D1320" s="2">
        <f t="shared" si="102"/>
        <v>3.4893728944954284E-3</v>
      </c>
      <c r="E1320" s="2">
        <f t="shared" si="104"/>
        <v>3.3804253593865553E-2</v>
      </c>
      <c r="F1320" s="2">
        <f t="shared" si="103"/>
        <v>-0.14474118683486212</v>
      </c>
      <c r="G1320" s="2">
        <f t="shared" si="100"/>
        <v>-0.14474118683486212</v>
      </c>
    </row>
    <row r="1321" spans="1:7" x14ac:dyDescent="0.25">
      <c r="A1321" s="18">
        <v>26.36</v>
      </c>
      <c r="B1321" s="2">
        <v>3.056E-2</v>
      </c>
      <c r="C1321" s="2">
        <f t="shared" si="101"/>
        <v>-6.1120000000000001</v>
      </c>
      <c r="D1321" s="2">
        <f t="shared" si="102"/>
        <v>4.7376279066245171E-3</v>
      </c>
      <c r="E1321" s="2">
        <f t="shared" si="104"/>
        <v>3.265378717157584E-2</v>
      </c>
      <c r="F1321" s="2">
        <f t="shared" si="103"/>
        <v>-0.17268883719873507</v>
      </c>
      <c r="G1321" s="2">
        <f t="shared" si="100"/>
        <v>-0.17268883719873507</v>
      </c>
    </row>
    <row r="1322" spans="1:7" x14ac:dyDescent="0.25">
      <c r="A1322" s="18">
        <v>26.38</v>
      </c>
      <c r="B1322" s="2">
        <v>2.1069999999999998E-2</v>
      </c>
      <c r="C1322" s="2">
        <f t="shared" si="101"/>
        <v>-4.2139999999999995</v>
      </c>
      <c r="D1322" s="2">
        <f t="shared" si="102"/>
        <v>5.9168073838741118E-3</v>
      </c>
      <c r="E1322" s="2">
        <f t="shared" si="104"/>
        <v>3.1206375303227219E-2</v>
      </c>
      <c r="F1322" s="2">
        <f t="shared" si="103"/>
        <v>-0.19857422151622112</v>
      </c>
      <c r="G1322" s="2">
        <f t="shared" si="100"/>
        <v>-0.19857422151622112</v>
      </c>
    </row>
    <row r="1323" spans="1:7" x14ac:dyDescent="0.25">
      <c r="A1323" s="18">
        <v>26.4</v>
      </c>
      <c r="B1323" s="2">
        <v>1.158E-2</v>
      </c>
      <c r="C1323" s="2">
        <f t="shared" si="101"/>
        <v>-2.3159999999999998</v>
      </c>
      <c r="D1323" s="2">
        <f t="shared" si="102"/>
        <v>7.016557172517218E-3</v>
      </c>
      <c r="E1323" s="2">
        <f t="shared" si="104"/>
        <v>2.9479486931239866E-2</v>
      </c>
      <c r="F1323" s="2">
        <f t="shared" si="103"/>
        <v>-0.2220767151755185</v>
      </c>
      <c r="G1323" s="2">
        <f t="shared" si="100"/>
        <v>-0.2220767151755185</v>
      </c>
    </row>
    <row r="1324" spans="1:7" x14ac:dyDescent="0.25">
      <c r="A1324" s="18">
        <v>26.42</v>
      </c>
      <c r="B1324" s="2">
        <v>7.7999999999999996E-3</v>
      </c>
      <c r="C1324" s="2">
        <f t="shared" si="101"/>
        <v>-1.5599999999999998</v>
      </c>
      <c r="D1324" s="2">
        <f t="shared" si="102"/>
        <v>8.0274762750901178E-3</v>
      </c>
      <c r="E1324" s="2">
        <f t="shared" si="104"/>
        <v>2.7493744716077656E-2</v>
      </c>
      <c r="F1324" s="2">
        <f t="shared" si="103"/>
        <v>-0.24862428825270491</v>
      </c>
      <c r="G1324" s="2">
        <f t="shared" si="100"/>
        <v>-0.24862428825270491</v>
      </c>
    </row>
    <row r="1325" spans="1:7" x14ac:dyDescent="0.25">
      <c r="A1325" s="18">
        <v>26.44</v>
      </c>
      <c r="B1325" s="2">
        <v>4.0200000000000001E-3</v>
      </c>
      <c r="C1325" s="2">
        <f t="shared" si="101"/>
        <v>-0.80400000000000005</v>
      </c>
      <c r="D1325" s="2">
        <f t="shared" si="102"/>
        <v>8.9389456623619346E-3</v>
      </c>
      <c r="E1325" s="2">
        <f t="shared" si="104"/>
        <v>2.5272977564322494E-2</v>
      </c>
      <c r="F1325" s="2">
        <f t="shared" si="103"/>
        <v>-0.27218836987085837</v>
      </c>
      <c r="G1325" s="2">
        <f t="shared" si="100"/>
        <v>-0.27218836987085837</v>
      </c>
    </row>
    <row r="1326" spans="1:7" x14ac:dyDescent="0.25">
      <c r="A1326" s="18">
        <v>26.46</v>
      </c>
      <c r="B1326" s="2">
        <v>2.4000000000000001E-4</v>
      </c>
      <c r="C1326" s="2">
        <f t="shared" si="101"/>
        <v>-4.8000000000000001E-2</v>
      </c>
      <c r="D1326" s="2">
        <f t="shared" si="102"/>
        <v>9.7415397016854081E-3</v>
      </c>
      <c r="E1326" s="2">
        <f t="shared" si="104"/>
        <v>2.2786734681795422E-2</v>
      </c>
      <c r="F1326" s="2">
        <f t="shared" si="103"/>
        <v>-0.29248619105057094</v>
      </c>
      <c r="G1326" s="2">
        <f t="shared" si="100"/>
        <v>-0.29248619105057094</v>
      </c>
    </row>
    <row r="1327" spans="1:7" x14ac:dyDescent="0.25">
      <c r="A1327" s="18">
        <v>26.48</v>
      </c>
      <c r="B1327" s="2">
        <v>-3.5400000000000002E-3</v>
      </c>
      <c r="C1327" s="2">
        <f t="shared" si="101"/>
        <v>0.70800000000000007</v>
      </c>
      <c r="D1327" s="2">
        <f t="shared" si="102"/>
        <v>1.0427139264588653E-2</v>
      </c>
      <c r="E1327" s="2">
        <f t="shared" si="104"/>
        <v>2.0064850983086836E-2</v>
      </c>
      <c r="F1327" s="2">
        <f t="shared" si="103"/>
        <v>-0.30927417793765766</v>
      </c>
      <c r="G1327" s="2">
        <f t="shared" si="100"/>
        <v>-0.30927417793765766</v>
      </c>
    </row>
    <row r="1328" spans="1:7" x14ac:dyDescent="0.25">
      <c r="A1328" s="18">
        <v>26.5</v>
      </c>
      <c r="B1328" s="2">
        <v>-7.3200000000000001E-3</v>
      </c>
      <c r="C1328" s="2">
        <f t="shared" si="101"/>
        <v>1.464</v>
      </c>
      <c r="D1328" s="2">
        <f t="shared" si="102"/>
        <v>1.0989029156316835E-2</v>
      </c>
      <c r="E1328" s="2">
        <f t="shared" si="104"/>
        <v>1.7139989072581126E-2</v>
      </c>
      <c r="F1328" s="2">
        <f t="shared" si="103"/>
        <v>-0.32235087468950735</v>
      </c>
      <c r="G1328" s="2">
        <f t="shared" si="100"/>
        <v>-0.32235087468950735</v>
      </c>
    </row>
    <row r="1329" spans="1:7" x14ac:dyDescent="0.25">
      <c r="A1329" s="18">
        <v>26.52</v>
      </c>
      <c r="B1329" s="2">
        <v>-1.11E-2</v>
      </c>
      <c r="C1329" s="2">
        <f t="shared" si="101"/>
        <v>2.2200000000000002</v>
      </c>
      <c r="D1329" s="2">
        <f t="shared" si="102"/>
        <v>1.1421978698169214E-2</v>
      </c>
      <c r="E1329" s="2">
        <f t="shared" si="104"/>
        <v>1.4047247293204551E-2</v>
      </c>
      <c r="F1329" s="2">
        <f t="shared" si="103"/>
        <v>-0.33155936094507887</v>
      </c>
      <c r="G1329" s="2">
        <f t="shared" si="100"/>
        <v>-0.33155936094507887</v>
      </c>
    </row>
    <row r="1330" spans="1:7" x14ac:dyDescent="0.25">
      <c r="A1330" s="18">
        <v>26.54</v>
      </c>
      <c r="B1330" s="2">
        <v>-7.7999999999999996E-3</v>
      </c>
      <c r="C1330" s="2">
        <f t="shared" si="101"/>
        <v>1.5599999999999998</v>
      </c>
      <c r="D1330" s="2">
        <f t="shared" si="102"/>
        <v>1.1722304495643562E-2</v>
      </c>
      <c r="E1330" s="2">
        <f t="shared" si="104"/>
        <v>1.0823738546309478E-2</v>
      </c>
      <c r="F1330" s="2">
        <f t="shared" si="103"/>
        <v>-0.34386913486930593</v>
      </c>
      <c r="G1330" s="2">
        <f t="shared" si="100"/>
        <v>-0.34386913486930593</v>
      </c>
    </row>
    <row r="1331" spans="1:7" x14ac:dyDescent="0.25">
      <c r="A1331" s="18">
        <v>26.56</v>
      </c>
      <c r="B1331" s="2">
        <v>-4.4999999999999997E-3</v>
      </c>
      <c r="C1331" s="2">
        <f t="shared" si="101"/>
        <v>0.89999999999999991</v>
      </c>
      <c r="D1331" s="2">
        <f t="shared" si="102"/>
        <v>1.1885082639170187E-2</v>
      </c>
      <c r="E1331" s="2">
        <f t="shared" si="104"/>
        <v>7.5081449368586892E-3</v>
      </c>
      <c r="F1331" s="2">
        <f t="shared" si="103"/>
        <v>-0.35205247917511129</v>
      </c>
      <c r="G1331" s="2">
        <f t="shared" si="100"/>
        <v>-0.35205247917511129</v>
      </c>
    </row>
    <row r="1332" spans="1:7" x14ac:dyDescent="0.25">
      <c r="A1332" s="18">
        <v>26.58</v>
      </c>
      <c r="B1332" s="2">
        <v>-1.1999999999999999E-3</v>
      </c>
      <c r="C1332" s="2">
        <f t="shared" si="101"/>
        <v>0.24</v>
      </c>
      <c r="D1332" s="2">
        <f t="shared" si="102"/>
        <v>1.1907039791026768E-2</v>
      </c>
      <c r="E1332" s="2">
        <f t="shared" si="104"/>
        <v>4.0694535881656297E-3</v>
      </c>
      <c r="F1332" s="2">
        <f t="shared" si="103"/>
        <v>-0.3560111937308012</v>
      </c>
      <c r="G1332" s="2">
        <f t="shared" si="100"/>
        <v>-0.3560111937308012</v>
      </c>
    </row>
    <row r="1333" spans="1:7" x14ac:dyDescent="0.25">
      <c r="A1333" s="18">
        <v>26.6</v>
      </c>
      <c r="B1333" s="2">
        <v>2.0999999999999999E-3</v>
      </c>
      <c r="C1333" s="2">
        <f t="shared" si="101"/>
        <v>-0.42</v>
      </c>
      <c r="D1333" s="2">
        <f t="shared" si="102"/>
        <v>1.1786592465391028E-2</v>
      </c>
      <c r="E1333" s="2">
        <f t="shared" si="104"/>
        <v>5.4892879641451654E-4</v>
      </c>
      <c r="F1333" s="2">
        <f t="shared" si="103"/>
        <v>-0.35569777396172658</v>
      </c>
      <c r="G1333" s="2">
        <f t="shared" si="100"/>
        <v>-0.35569777396172658</v>
      </c>
    </row>
    <row r="1334" spans="1:7" x14ac:dyDescent="0.25">
      <c r="A1334" s="18">
        <v>26.62</v>
      </c>
      <c r="B1334" s="2">
        <v>5.4000000000000003E-3</v>
      </c>
      <c r="C1334" s="2">
        <f t="shared" si="101"/>
        <v>-1.08</v>
      </c>
      <c r="D1334" s="2">
        <f t="shared" si="102"/>
        <v>1.1523866030170598E-2</v>
      </c>
      <c r="E1334" s="2">
        <f t="shared" si="104"/>
        <v>-3.0111831408934954E-3</v>
      </c>
      <c r="F1334" s="2">
        <f t="shared" si="103"/>
        <v>-0.35111598090512008</v>
      </c>
      <c r="G1334" s="2">
        <f t="shared" si="100"/>
        <v>-0.35111598090512008</v>
      </c>
    </row>
    <row r="1335" spans="1:7" x14ac:dyDescent="0.25">
      <c r="A1335" s="18">
        <v>26.64</v>
      </c>
      <c r="B1335" s="2">
        <v>-8.3099999999999997E-3</v>
      </c>
      <c r="C1335" s="2">
        <f t="shared" si="101"/>
        <v>1.6619999999999999</v>
      </c>
      <c r="D1335" s="2">
        <f t="shared" si="102"/>
        <v>1.1120693202588119E-2</v>
      </c>
      <c r="E1335" s="2">
        <f t="shared" si="104"/>
        <v>-6.5681608805107615E-3</v>
      </c>
      <c r="F1335" s="2">
        <f t="shared" si="103"/>
        <v>-0.32531079607764096</v>
      </c>
      <c r="G1335" s="2">
        <f t="shared" si="100"/>
        <v>-0.32531079607764096</v>
      </c>
    </row>
    <row r="1336" spans="1:7" x14ac:dyDescent="0.25">
      <c r="A1336" s="18">
        <v>26.66</v>
      </c>
      <c r="B1336" s="2">
        <v>-2.2030000000000001E-2</v>
      </c>
      <c r="C1336" s="2">
        <f t="shared" si="101"/>
        <v>4.4060000000000006</v>
      </c>
      <c r="D1336" s="2">
        <f t="shared" si="102"/>
        <v>1.0587396056574584E-2</v>
      </c>
      <c r="E1336" s="2">
        <f t="shared" si="104"/>
        <v>-1.0079320689561962E-2</v>
      </c>
      <c r="F1336" s="2">
        <f t="shared" si="103"/>
        <v>-0.29559188169723039</v>
      </c>
      <c r="G1336" s="2">
        <f t="shared" si="100"/>
        <v>-0.29559188169723039</v>
      </c>
    </row>
    <row r="1337" spans="1:7" x14ac:dyDescent="0.25">
      <c r="A1337" s="18">
        <v>26.68</v>
      </c>
      <c r="B1337" s="2">
        <v>-3.5749999999999997E-2</v>
      </c>
      <c r="C1337" s="2">
        <f t="shared" si="101"/>
        <v>7.1499999999999995</v>
      </c>
      <c r="D1337" s="2">
        <f t="shared" si="102"/>
        <v>9.9358621578821572E-3</v>
      </c>
      <c r="E1337" s="2">
        <f t="shared" si="104"/>
        <v>-1.3332428650338372E-2</v>
      </c>
      <c r="F1337" s="2">
        <f t="shared" si="103"/>
        <v>-0.26232586473646718</v>
      </c>
      <c r="G1337" s="2">
        <f t="shared" si="100"/>
        <v>-0.26232586473646718</v>
      </c>
    </row>
    <row r="1338" spans="1:7" x14ac:dyDescent="0.25">
      <c r="A1338" s="18">
        <v>26.7</v>
      </c>
      <c r="B1338" s="2">
        <v>-4.947E-2</v>
      </c>
      <c r="C1338" s="2">
        <f t="shared" si="101"/>
        <v>9.8940000000000001</v>
      </c>
      <c r="D1338" s="2">
        <f t="shared" si="102"/>
        <v>9.1793979132951432E-3</v>
      </c>
      <c r="E1338" s="2">
        <f t="shared" si="104"/>
        <v>-1.6288347467310674E-2</v>
      </c>
      <c r="F1338" s="2">
        <f t="shared" si="103"/>
        <v>-0.22591193739885435</v>
      </c>
      <c r="G1338" s="2">
        <f t="shared" si="100"/>
        <v>-0.22591193739885435</v>
      </c>
    </row>
    <row r="1339" spans="1:7" x14ac:dyDescent="0.25">
      <c r="A1339" s="18">
        <v>26.72</v>
      </c>
      <c r="B1339" s="2">
        <v>-6.3189999999999996E-2</v>
      </c>
      <c r="C1339" s="2">
        <f t="shared" si="101"/>
        <v>12.638</v>
      </c>
      <c r="D1339" s="2">
        <f t="shared" si="102"/>
        <v>8.3325688937485876E-3</v>
      </c>
      <c r="E1339" s="2">
        <f t="shared" si="104"/>
        <v>-1.8911606114675347E-2</v>
      </c>
      <c r="F1339" s="2">
        <f t="shared" si="103"/>
        <v>-0.18678706681245258</v>
      </c>
      <c r="G1339" s="2">
        <f t="shared" si="100"/>
        <v>-0.18678706681245258</v>
      </c>
    </row>
    <row r="1340" spans="1:7" x14ac:dyDescent="0.25">
      <c r="A1340" s="18">
        <v>26.74</v>
      </c>
      <c r="B1340" s="2">
        <v>-5.0459999999999998E-2</v>
      </c>
      <c r="C1340" s="2">
        <f t="shared" si="101"/>
        <v>10.091999999999999</v>
      </c>
      <c r="D1340" s="2">
        <f t="shared" si="102"/>
        <v>7.4110250474770508E-3</v>
      </c>
      <c r="E1340" s="2">
        <f t="shared" si="104"/>
        <v>-2.1170725488663892E-2</v>
      </c>
      <c r="F1340" s="2">
        <f t="shared" si="103"/>
        <v>-0.17187075142431443</v>
      </c>
      <c r="G1340" s="2">
        <f t="shared" si="100"/>
        <v>-0.17187075142431443</v>
      </c>
    </row>
    <row r="1341" spans="1:7" x14ac:dyDescent="0.25">
      <c r="A1341" s="18">
        <v>26.76</v>
      </c>
      <c r="B1341" s="2">
        <v>-3.773E-2</v>
      </c>
      <c r="C1341" s="2">
        <f t="shared" si="101"/>
        <v>7.5460000000000003</v>
      </c>
      <c r="D1341" s="2">
        <f t="shared" si="102"/>
        <v>6.4207329006357883E-3</v>
      </c>
      <c r="E1341" s="2">
        <f t="shared" si="104"/>
        <v>-2.3038596156788417E-2</v>
      </c>
      <c r="F1341" s="2">
        <f t="shared" si="103"/>
        <v>-0.15489198701907181</v>
      </c>
      <c r="G1341" s="2">
        <f t="shared" si="100"/>
        <v>-0.15489198701907181</v>
      </c>
    </row>
    <row r="1342" spans="1:7" x14ac:dyDescent="0.25">
      <c r="A1342" s="18">
        <v>26.78</v>
      </c>
      <c r="B1342" s="2">
        <v>-2.5000000000000001E-2</v>
      </c>
      <c r="C1342" s="2">
        <f t="shared" si="101"/>
        <v>5</v>
      </c>
      <c r="D1342" s="2">
        <f t="shared" si="102"/>
        <v>5.3684839589868971E-3</v>
      </c>
      <c r="E1342" s="2">
        <f t="shared" si="104"/>
        <v>-2.4757303671031562E-2</v>
      </c>
      <c r="F1342" s="2">
        <f t="shared" si="103"/>
        <v>-0.13605451876960631</v>
      </c>
      <c r="G1342" s="2">
        <f t="shared" si="100"/>
        <v>-0.13605451876960631</v>
      </c>
    </row>
    <row r="1343" spans="1:7" x14ac:dyDescent="0.25">
      <c r="A1343" s="18">
        <v>26.8</v>
      </c>
      <c r="B1343" s="2">
        <v>-1.227E-2</v>
      </c>
      <c r="C1343" s="2">
        <f t="shared" si="101"/>
        <v>2.4539999999999997</v>
      </c>
      <c r="D1343" s="2">
        <f t="shared" si="102"/>
        <v>4.2618132098301634E-3</v>
      </c>
      <c r="E1343" s="2">
        <f t="shared" si="104"/>
        <v>-2.6306223541222279E-2</v>
      </c>
      <c r="F1343" s="2">
        <f t="shared" si="103"/>
        <v>-0.11558439629490418</v>
      </c>
      <c r="G1343" s="2">
        <f t="shared" si="100"/>
        <v>-0.11558439629490418</v>
      </c>
    </row>
    <row r="1344" spans="1:7" x14ac:dyDescent="0.25">
      <c r="A1344" s="18">
        <v>26.82</v>
      </c>
      <c r="B1344" s="2">
        <v>4.6000000000000001E-4</v>
      </c>
      <c r="C1344" s="2">
        <f t="shared" si="101"/>
        <v>-9.1999999999999998E-2</v>
      </c>
      <c r="D1344" s="2">
        <f t="shared" si="102"/>
        <v>3.108908702155468E-3</v>
      </c>
      <c r="E1344" s="2">
        <f t="shared" si="104"/>
        <v>-2.7666768728918344E-2</v>
      </c>
      <c r="F1344" s="2">
        <f t="shared" si="103"/>
        <v>-9.3727261064664072E-2</v>
      </c>
      <c r="G1344" s="2">
        <f t="shared" si="100"/>
        <v>-9.3727261064664072E-2</v>
      </c>
    </row>
    <row r="1345" spans="1:7" x14ac:dyDescent="0.25">
      <c r="A1345" s="18">
        <v>26.84</v>
      </c>
      <c r="B1345" s="2">
        <v>4.8199999999999996E-3</v>
      </c>
      <c r="C1345" s="2">
        <f t="shared" si="101"/>
        <v>-0.96399999999999997</v>
      </c>
      <c r="D1345" s="2">
        <f t="shared" si="102"/>
        <v>1.9185132900549069E-3</v>
      </c>
      <c r="E1345" s="2">
        <f t="shared" si="104"/>
        <v>-2.8822612691867384E-2</v>
      </c>
      <c r="F1345" s="2">
        <f t="shared" si="103"/>
        <v>-6.237539870164633E-2</v>
      </c>
      <c r="G1345" s="2">
        <f t="shared" si="100"/>
        <v>-6.237539870164633E-2</v>
      </c>
    </row>
    <row r="1346" spans="1:7" x14ac:dyDescent="0.25">
      <c r="A1346" s="18">
        <v>26.86</v>
      </c>
      <c r="B1346" s="2">
        <v>9.1900000000000003E-3</v>
      </c>
      <c r="C1346" s="2">
        <f t="shared" si="101"/>
        <v>-1.8380000000000001</v>
      </c>
      <c r="D1346" s="2">
        <f t="shared" si="102"/>
        <v>7.0316771847368732E-4</v>
      </c>
      <c r="E1346" s="2">
        <f t="shared" si="104"/>
        <v>-2.9759885302514024E-2</v>
      </c>
      <c r="F1346" s="2">
        <f t="shared" si="103"/>
        <v>-3.0285031554210265E-2</v>
      </c>
      <c r="G1346" s="2">
        <f t="shared" ref="G1346:G1409" si="105">HLOOKUP($Y$3,$B$1:$F$1562,ROW(),0)</f>
        <v>-3.0285031554210265E-2</v>
      </c>
    </row>
    <row r="1347" spans="1:7" x14ac:dyDescent="0.25">
      <c r="A1347" s="18">
        <v>26.88</v>
      </c>
      <c r="B1347" s="2">
        <v>1.355E-2</v>
      </c>
      <c r="C1347" s="2">
        <f t="shared" ref="C1347:C1410" si="106">-$M$4*B1347</f>
        <v>-2.71</v>
      </c>
      <c r="D1347" s="2">
        <f t="shared" si="102"/>
        <v>-5.2429186572921637E-4</v>
      </c>
      <c r="E1347" s="2">
        <f t="shared" si="104"/>
        <v>-3.0383639289530487E-2</v>
      </c>
      <c r="F1347" s="2">
        <f t="shared" si="103"/>
        <v>2.1787559718758429E-3</v>
      </c>
      <c r="G1347" s="2">
        <f t="shared" si="105"/>
        <v>2.1787559718758429E-3</v>
      </c>
    </row>
    <row r="1348" spans="1:7" x14ac:dyDescent="0.25">
      <c r="A1348" s="18">
        <v>26.9</v>
      </c>
      <c r="B1348" s="2">
        <v>1.7909999999999999E-2</v>
      </c>
      <c r="C1348" s="2">
        <f t="shared" si="106"/>
        <v>-3.5819999999999999</v>
      </c>
      <c r="D1348" s="2">
        <f t="shared" ref="D1348:D1411" si="107">(C1347-($Q$6*D1347)-($Q$7*D1346))/$Q$5</f>
        <v>-1.7508799475433696E-3</v>
      </c>
      <c r="E1348" s="2">
        <f t="shared" si="104"/>
        <v>-3.068648960507259E-2</v>
      </c>
      <c r="F1348" s="2">
        <f t="shared" ref="F1348:F1411" si="108">(D1347-2*D1348+D1349)/($A$4^2)</f>
        <v>3.4616398426301181E-2</v>
      </c>
      <c r="G1348" s="2">
        <f t="shared" si="105"/>
        <v>3.4616398426301181E-2</v>
      </c>
    </row>
    <row r="1349" spans="1:7" x14ac:dyDescent="0.25">
      <c r="A1349" s="18">
        <v>26.92</v>
      </c>
      <c r="B1349" s="2">
        <v>2.2280000000000001E-2</v>
      </c>
      <c r="C1349" s="2">
        <f t="shared" si="106"/>
        <v>-4.4560000000000004</v>
      </c>
      <c r="D1349" s="2">
        <f t="shared" si="107"/>
        <v>-2.9636214699870025E-3</v>
      </c>
      <c r="E1349" s="2">
        <f t="shared" ref="E1349:E1412" si="109">(D1348-D1347)/(2*$A$4)</f>
        <v>-3.0664702045353834E-2</v>
      </c>
      <c r="F1349" s="2">
        <f t="shared" si="108"/>
        <v>6.662864409961089E-2</v>
      </c>
      <c r="G1349" s="2">
        <f t="shared" si="105"/>
        <v>6.662864409961089E-2</v>
      </c>
    </row>
    <row r="1350" spans="1:7" x14ac:dyDescent="0.25">
      <c r="A1350" s="18">
        <v>26.94</v>
      </c>
      <c r="B1350" s="2">
        <v>8.8299999999999993E-3</v>
      </c>
      <c r="C1350" s="2">
        <f t="shared" si="106"/>
        <v>-1.7659999999999998</v>
      </c>
      <c r="D1350" s="2">
        <f t="shared" si="107"/>
        <v>-4.149711534790791E-3</v>
      </c>
      <c r="E1350" s="2">
        <f t="shared" si="109"/>
        <v>-3.0318538061090822E-2</v>
      </c>
      <c r="F1350" s="2">
        <f t="shared" si="108"/>
        <v>0.11566134604372533</v>
      </c>
      <c r="G1350" s="2">
        <f t="shared" si="105"/>
        <v>0.11566134604372533</v>
      </c>
    </row>
    <row r="1351" spans="1:7" x14ac:dyDescent="0.25">
      <c r="A1351" s="18">
        <v>26.96</v>
      </c>
      <c r="B1351" s="2">
        <v>-4.62E-3</v>
      </c>
      <c r="C1351" s="2">
        <f t="shared" si="106"/>
        <v>0.92400000000000004</v>
      </c>
      <c r="D1351" s="2">
        <f t="shared" si="107"/>
        <v>-5.2895370611770898E-3</v>
      </c>
      <c r="E1351" s="2">
        <f t="shared" si="109"/>
        <v>-2.9652251620094713E-2</v>
      </c>
      <c r="F1351" s="2">
        <f t="shared" si="108"/>
        <v>0.16330611183531032</v>
      </c>
      <c r="G1351" s="2">
        <f t="shared" si="105"/>
        <v>0.16330611183531032</v>
      </c>
    </row>
    <row r="1352" spans="1:7" x14ac:dyDescent="0.25">
      <c r="A1352" s="18">
        <v>26.98</v>
      </c>
      <c r="B1352" s="2">
        <v>-1.8069999999999999E-2</v>
      </c>
      <c r="C1352" s="2">
        <f t="shared" si="106"/>
        <v>3.6139999999999999</v>
      </c>
      <c r="D1352" s="2">
        <f t="shared" si="107"/>
        <v>-6.3640401428292645E-3</v>
      </c>
      <c r="E1352" s="2">
        <f t="shared" si="109"/>
        <v>-2.8495638159657471E-2</v>
      </c>
      <c r="F1352" s="2">
        <f t="shared" si="108"/>
        <v>0.20899120428487497</v>
      </c>
      <c r="G1352" s="2">
        <f t="shared" si="105"/>
        <v>0.20899120428487497</v>
      </c>
    </row>
    <row r="1353" spans="1:7" x14ac:dyDescent="0.25">
      <c r="A1353" s="18">
        <v>27</v>
      </c>
      <c r="B1353" s="2">
        <v>-3.1519999999999999E-2</v>
      </c>
      <c r="C1353" s="2">
        <f t="shared" si="106"/>
        <v>6.3040000000000003</v>
      </c>
      <c r="D1353" s="2">
        <f t="shared" si="107"/>
        <v>-7.3549467427674892E-3</v>
      </c>
      <c r="E1353" s="2">
        <f t="shared" si="109"/>
        <v>-2.6862577041304368E-2</v>
      </c>
      <c r="F1353" s="2">
        <f t="shared" si="108"/>
        <v>0.25216840228302512</v>
      </c>
      <c r="G1353" s="2">
        <f t="shared" si="105"/>
        <v>0.25216840228302512</v>
      </c>
    </row>
    <row r="1354" spans="1:7" x14ac:dyDescent="0.25">
      <c r="A1354" s="18">
        <v>27.02</v>
      </c>
      <c r="B1354" s="2">
        <v>-2.2759999999999999E-2</v>
      </c>
      <c r="C1354" s="2">
        <f t="shared" si="106"/>
        <v>4.5519999999999996</v>
      </c>
      <c r="D1354" s="2">
        <f t="shared" si="107"/>
        <v>-8.2449859817925047E-3</v>
      </c>
      <c r="E1354" s="2">
        <f t="shared" si="109"/>
        <v>-2.4772664998455617E-2</v>
      </c>
      <c r="F1354" s="2">
        <f t="shared" si="108"/>
        <v>0.27010957945377589</v>
      </c>
      <c r="G1354" s="2">
        <f t="shared" si="105"/>
        <v>0.27010957945377589</v>
      </c>
    </row>
    <row r="1355" spans="1:7" x14ac:dyDescent="0.25">
      <c r="A1355" s="18">
        <v>27.04</v>
      </c>
      <c r="B1355" s="2">
        <v>-1.401E-2</v>
      </c>
      <c r="C1355" s="2">
        <f t="shared" si="106"/>
        <v>2.802</v>
      </c>
      <c r="D1355" s="2">
        <f t="shared" si="107"/>
        <v>-9.0269813890360099E-3</v>
      </c>
      <c r="E1355" s="2">
        <f t="shared" si="109"/>
        <v>-2.2250980975625386E-2</v>
      </c>
      <c r="F1355" s="2">
        <f t="shared" si="108"/>
        <v>0.28481944167108114</v>
      </c>
      <c r="G1355" s="2">
        <f t="shared" si="105"/>
        <v>0.28481944167108114</v>
      </c>
    </row>
    <row r="1356" spans="1:7" x14ac:dyDescent="0.25">
      <c r="A1356" s="18">
        <v>27.06</v>
      </c>
      <c r="B1356" s="2">
        <v>-5.2599999999999999E-3</v>
      </c>
      <c r="C1356" s="2">
        <f t="shared" si="106"/>
        <v>1.052</v>
      </c>
      <c r="D1356" s="2">
        <f t="shared" si="107"/>
        <v>-9.6950490196110826E-3</v>
      </c>
      <c r="E1356" s="2">
        <f t="shared" si="109"/>
        <v>-1.9549885181087627E-2</v>
      </c>
      <c r="F1356" s="2">
        <f t="shared" si="108"/>
        <v>0.29611147058833126</v>
      </c>
      <c r="G1356" s="2">
        <f t="shared" si="105"/>
        <v>0.29611147058833126</v>
      </c>
    </row>
    <row r="1357" spans="1:7" x14ac:dyDescent="0.25">
      <c r="A1357" s="18">
        <v>27.08</v>
      </c>
      <c r="B1357" s="2">
        <v>3.5000000000000001E-3</v>
      </c>
      <c r="C1357" s="2">
        <f t="shared" si="106"/>
        <v>-0.70000000000000007</v>
      </c>
      <c r="D1357" s="2">
        <f t="shared" si="107"/>
        <v>-1.0244672061950823E-2</v>
      </c>
      <c r="E1357" s="2">
        <f t="shared" si="109"/>
        <v>-1.6701690764376817E-2</v>
      </c>
      <c r="F1357" s="2">
        <f t="shared" si="108"/>
        <v>0.30384016185852192</v>
      </c>
      <c r="G1357" s="2">
        <f t="shared" si="105"/>
        <v>0.30384016185852192</v>
      </c>
    </row>
    <row r="1358" spans="1:7" x14ac:dyDescent="0.25">
      <c r="A1358" s="18">
        <v>27.1</v>
      </c>
      <c r="B1358" s="2">
        <v>1.225E-2</v>
      </c>
      <c r="C1358" s="2">
        <f t="shared" si="106"/>
        <v>-2.4500000000000002</v>
      </c>
      <c r="D1358" s="2">
        <f t="shared" si="107"/>
        <v>-1.0672759039547154E-2</v>
      </c>
      <c r="E1358" s="2">
        <f t="shared" si="109"/>
        <v>-1.3740576058493504E-2</v>
      </c>
      <c r="F1358" s="2">
        <f t="shared" si="108"/>
        <v>0.30793277118641715</v>
      </c>
      <c r="G1358" s="2">
        <f t="shared" si="105"/>
        <v>0.30793277118641715</v>
      </c>
    </row>
    <row r="1359" spans="1:7" x14ac:dyDescent="0.25">
      <c r="A1359" s="18">
        <v>27.12</v>
      </c>
      <c r="B1359" s="2">
        <v>2.1010000000000001E-2</v>
      </c>
      <c r="C1359" s="2">
        <f t="shared" si="106"/>
        <v>-4.202</v>
      </c>
      <c r="D1359" s="2">
        <f t="shared" si="107"/>
        <v>-1.0977672908668919E-2</v>
      </c>
      <c r="E1359" s="2">
        <f t="shared" si="109"/>
        <v>-1.0702174439908285E-2</v>
      </c>
      <c r="F1359" s="2">
        <f t="shared" si="108"/>
        <v>0.30832018726006588</v>
      </c>
      <c r="G1359" s="2">
        <f t="shared" si="105"/>
        <v>0.30832018726006588</v>
      </c>
    </row>
    <row r="1360" spans="1:7" x14ac:dyDescent="0.25">
      <c r="A1360" s="18">
        <v>27.14</v>
      </c>
      <c r="B1360" s="2">
        <v>1.4370000000000001E-2</v>
      </c>
      <c r="C1360" s="2">
        <f t="shared" si="106"/>
        <v>-2.8740000000000001</v>
      </c>
      <c r="D1360" s="2">
        <f t="shared" si="107"/>
        <v>-1.1159258702886657E-2</v>
      </c>
      <c r="E1360" s="2">
        <f t="shared" si="109"/>
        <v>-7.6228467280441137E-3</v>
      </c>
      <c r="F1360" s="2">
        <f t="shared" si="108"/>
        <v>0.32040776108660085</v>
      </c>
      <c r="G1360" s="2">
        <f t="shared" si="105"/>
        <v>0.32040776108660085</v>
      </c>
    </row>
    <row r="1361" spans="1:7" x14ac:dyDescent="0.25">
      <c r="A1361" s="18">
        <v>27.16</v>
      </c>
      <c r="B1361" s="2">
        <v>7.7299999999999999E-3</v>
      </c>
      <c r="C1361" s="2">
        <f t="shared" si="106"/>
        <v>-1.546</v>
      </c>
      <c r="D1361" s="2">
        <f t="shared" si="107"/>
        <v>-1.1212681392669755E-2</v>
      </c>
      <c r="E1361" s="2">
        <f t="shared" si="109"/>
        <v>-4.5396448554434546E-3</v>
      </c>
      <c r="F1361" s="2">
        <f t="shared" si="108"/>
        <v>0.32865044178009317</v>
      </c>
      <c r="G1361" s="2">
        <f t="shared" si="105"/>
        <v>0.32865044178009317</v>
      </c>
    </row>
    <row r="1362" spans="1:7" x14ac:dyDescent="0.25">
      <c r="A1362" s="18">
        <v>27.18</v>
      </c>
      <c r="B1362" s="2">
        <v>1.1000000000000001E-3</v>
      </c>
      <c r="C1362" s="2">
        <f t="shared" si="106"/>
        <v>-0.22</v>
      </c>
      <c r="D1362" s="2">
        <f t="shared" si="107"/>
        <v>-1.1134643905740815E-2</v>
      </c>
      <c r="E1362" s="2">
        <f t="shared" si="109"/>
        <v>-1.3355672445774461E-3</v>
      </c>
      <c r="F1362" s="2">
        <f t="shared" si="108"/>
        <v>0.33293931717223113</v>
      </c>
      <c r="G1362" s="2">
        <f t="shared" si="105"/>
        <v>0.33293931717223113</v>
      </c>
    </row>
    <row r="1363" spans="1:7" x14ac:dyDescent="0.25">
      <c r="A1363" s="18">
        <v>27.2</v>
      </c>
      <c r="B1363" s="2">
        <v>8.2299999999999995E-3</v>
      </c>
      <c r="C1363" s="2">
        <f t="shared" si="106"/>
        <v>-1.6459999999999999</v>
      </c>
      <c r="D1363" s="2">
        <f t="shared" si="107"/>
        <v>-1.0923430691942983E-2</v>
      </c>
      <c r="E1363" s="2">
        <f t="shared" si="109"/>
        <v>1.9509371732234857E-3</v>
      </c>
      <c r="F1363" s="2">
        <f t="shared" si="108"/>
        <v>0.31947292075828848</v>
      </c>
      <c r="G1363" s="2">
        <f t="shared" si="105"/>
        <v>0.31947292075828848</v>
      </c>
    </row>
    <row r="1364" spans="1:7" x14ac:dyDescent="0.25">
      <c r="A1364" s="18">
        <v>27.22</v>
      </c>
      <c r="B1364" s="2">
        <v>1.537E-2</v>
      </c>
      <c r="C1364" s="2">
        <f t="shared" si="106"/>
        <v>-3.0739999999999998</v>
      </c>
      <c r="D1364" s="2">
        <f t="shared" si="107"/>
        <v>-1.0584428309841836E-2</v>
      </c>
      <c r="E1364" s="2">
        <f t="shared" si="109"/>
        <v>5.2803303449457974E-3</v>
      </c>
      <c r="F1364" s="2">
        <f t="shared" si="108"/>
        <v>0.30216284929525294</v>
      </c>
      <c r="G1364" s="2">
        <f t="shared" si="105"/>
        <v>0.30216284929525294</v>
      </c>
    </row>
    <row r="1365" spans="1:7" x14ac:dyDescent="0.25">
      <c r="A1365" s="18">
        <v>27.24</v>
      </c>
      <c r="B1365" s="2">
        <v>2.2509999999999999E-2</v>
      </c>
      <c r="C1365" s="2">
        <f t="shared" si="106"/>
        <v>-4.5019999999999998</v>
      </c>
      <c r="D1365" s="2">
        <f t="shared" si="107"/>
        <v>-1.0124560788022588E-2</v>
      </c>
      <c r="E1365" s="2">
        <f t="shared" si="109"/>
        <v>8.4750595525286826E-3</v>
      </c>
      <c r="F1365" s="2">
        <f t="shared" si="108"/>
        <v>0.28122682364067808</v>
      </c>
      <c r="G1365" s="2">
        <f t="shared" si="105"/>
        <v>0.28122682364067808</v>
      </c>
    </row>
    <row r="1366" spans="1:7" x14ac:dyDescent="0.25">
      <c r="A1366" s="18">
        <v>27.26</v>
      </c>
      <c r="B1366" s="2">
        <v>1.7129999999999999E-2</v>
      </c>
      <c r="C1366" s="2">
        <f t="shared" si="106"/>
        <v>-3.4259999999999997</v>
      </c>
      <c r="D1366" s="2">
        <f t="shared" si="107"/>
        <v>-9.5522025367470679E-3</v>
      </c>
      <c r="E1366" s="2">
        <f t="shared" si="109"/>
        <v>1.1496688045481212E-2</v>
      </c>
      <c r="F1366" s="2">
        <f t="shared" si="108"/>
        <v>0.26943607610241394</v>
      </c>
      <c r="G1366" s="2">
        <f t="shared" si="105"/>
        <v>0.26943607610241394</v>
      </c>
    </row>
    <row r="1367" spans="1:7" x14ac:dyDescent="0.25">
      <c r="A1367" s="18">
        <v>27.28</v>
      </c>
      <c r="B1367" s="2">
        <v>1.175E-2</v>
      </c>
      <c r="C1367" s="2">
        <f t="shared" si="106"/>
        <v>-2.35</v>
      </c>
      <c r="D1367" s="2">
        <f t="shared" si="107"/>
        <v>-8.8720698550305826E-3</v>
      </c>
      <c r="E1367" s="2">
        <f t="shared" si="109"/>
        <v>1.4308956281887993E-2</v>
      </c>
      <c r="F1367" s="2">
        <f t="shared" si="108"/>
        <v>0.25441209565091588</v>
      </c>
      <c r="G1367" s="2">
        <f t="shared" si="105"/>
        <v>0.25441209565091588</v>
      </c>
    </row>
    <row r="1368" spans="1:7" x14ac:dyDescent="0.25">
      <c r="A1368" s="18">
        <v>27.3</v>
      </c>
      <c r="B1368" s="2">
        <v>6.3699999999999998E-3</v>
      </c>
      <c r="C1368" s="2">
        <f t="shared" si="106"/>
        <v>-1.274</v>
      </c>
      <c r="D1368" s="2">
        <f t="shared" si="107"/>
        <v>-8.0901723350537309E-3</v>
      </c>
      <c r="E1368" s="2">
        <f t="shared" si="109"/>
        <v>1.7003317042912133E-2</v>
      </c>
      <c r="F1368" s="2">
        <f t="shared" si="108"/>
        <v>0.23633517005160803</v>
      </c>
      <c r="G1368" s="2">
        <f t="shared" si="105"/>
        <v>0.23633517005160803</v>
      </c>
    </row>
    <row r="1369" spans="1:7" x14ac:dyDescent="0.25">
      <c r="A1369" s="18">
        <v>27.32</v>
      </c>
      <c r="B1369" s="2">
        <v>1.376E-2</v>
      </c>
      <c r="C1369" s="2">
        <f t="shared" si="106"/>
        <v>-2.7519999999999998</v>
      </c>
      <c r="D1369" s="2">
        <f t="shared" si="107"/>
        <v>-7.2137407470562361E-3</v>
      </c>
      <c r="E1369" s="2">
        <f t="shared" si="109"/>
        <v>1.954743799942129E-2</v>
      </c>
      <c r="F1369" s="2">
        <f t="shared" si="108"/>
        <v>0.20265222241168607</v>
      </c>
      <c r="G1369" s="2">
        <f t="shared" si="105"/>
        <v>0.20265222241168607</v>
      </c>
    </row>
    <row r="1370" spans="1:7" x14ac:dyDescent="0.25">
      <c r="A1370" s="18">
        <v>27.34</v>
      </c>
      <c r="B1370" s="2">
        <v>2.1139999999999999E-2</v>
      </c>
      <c r="C1370" s="2">
        <f t="shared" si="106"/>
        <v>-4.2279999999999998</v>
      </c>
      <c r="D1370" s="2">
        <f t="shared" si="107"/>
        <v>-6.2562482700940667E-3</v>
      </c>
      <c r="E1370" s="2">
        <f t="shared" si="109"/>
        <v>2.1910789699937372E-2</v>
      </c>
      <c r="F1370" s="2">
        <f t="shared" si="108"/>
        <v>0.16654744810282085</v>
      </c>
      <c r="G1370" s="2">
        <f t="shared" si="105"/>
        <v>0.16654744810282085</v>
      </c>
    </row>
    <row r="1371" spans="1:7" x14ac:dyDescent="0.25">
      <c r="A1371" s="18">
        <v>27.36</v>
      </c>
      <c r="B1371" s="2">
        <v>2.852E-2</v>
      </c>
      <c r="C1371" s="2">
        <f t="shared" si="106"/>
        <v>-5.7039999999999997</v>
      </c>
      <c r="D1371" s="2">
        <f t="shared" si="107"/>
        <v>-5.2321368138907691E-3</v>
      </c>
      <c r="E1371" s="2">
        <f t="shared" si="109"/>
        <v>2.3937311924054232E-2</v>
      </c>
      <c r="F1371" s="2">
        <f t="shared" si="108"/>
        <v>0.12844410441672538</v>
      </c>
      <c r="G1371" s="2">
        <f t="shared" si="105"/>
        <v>0.12844410441672538</v>
      </c>
    </row>
    <row r="1372" spans="1:7" x14ac:dyDescent="0.25">
      <c r="A1372" s="18">
        <v>27.38</v>
      </c>
      <c r="B1372" s="2">
        <v>3.5909999999999997E-2</v>
      </c>
      <c r="C1372" s="2">
        <f t="shared" si="106"/>
        <v>-7.1819999999999995</v>
      </c>
      <c r="D1372" s="2">
        <f t="shared" si="107"/>
        <v>-4.1566477159207813E-3</v>
      </c>
      <c r="E1372" s="2">
        <f t="shared" si="109"/>
        <v>2.5602786405082442E-2</v>
      </c>
      <c r="F1372" s="2">
        <f t="shared" si="108"/>
        <v>8.8789431477625039E-2</v>
      </c>
      <c r="G1372" s="2">
        <f t="shared" si="105"/>
        <v>8.8789431477625039E-2</v>
      </c>
    </row>
    <row r="1373" spans="1:7" x14ac:dyDescent="0.25">
      <c r="A1373" s="18">
        <v>27.4</v>
      </c>
      <c r="B1373" s="2">
        <v>4.3290000000000002E-2</v>
      </c>
      <c r="C1373" s="2">
        <f t="shared" si="106"/>
        <v>-8.6580000000000013</v>
      </c>
      <c r="D1373" s="2">
        <f t="shared" si="107"/>
        <v>-3.0456428453597435E-3</v>
      </c>
      <c r="E1373" s="2">
        <f t="shared" si="109"/>
        <v>2.6887227449249696E-2</v>
      </c>
      <c r="F1373" s="2">
        <f t="shared" si="108"/>
        <v>4.8079285360793068E-2</v>
      </c>
      <c r="G1373" s="2">
        <f t="shared" si="105"/>
        <v>4.8079285360793068E-2</v>
      </c>
    </row>
    <row r="1374" spans="1:7" x14ac:dyDescent="0.25">
      <c r="A1374" s="18">
        <v>27.42</v>
      </c>
      <c r="B1374" s="2">
        <v>3.458E-2</v>
      </c>
      <c r="C1374" s="2">
        <f t="shared" si="106"/>
        <v>-6.9160000000000004</v>
      </c>
      <c r="D1374" s="2">
        <f t="shared" si="107"/>
        <v>-1.9154062606543884E-3</v>
      </c>
      <c r="E1374" s="2">
        <f t="shared" si="109"/>
        <v>2.7775121764025947E-2</v>
      </c>
      <c r="F1374" s="2">
        <f t="shared" si="108"/>
        <v>2.2882187819632516E-2</v>
      </c>
      <c r="G1374" s="2">
        <f t="shared" si="105"/>
        <v>2.2882187819632516E-2</v>
      </c>
    </row>
    <row r="1375" spans="1:7" x14ac:dyDescent="0.25">
      <c r="A1375" s="18">
        <v>27.44</v>
      </c>
      <c r="B1375" s="2">
        <v>2.5870000000000001E-2</v>
      </c>
      <c r="C1375" s="2">
        <f t="shared" si="106"/>
        <v>-5.1740000000000004</v>
      </c>
      <c r="D1375" s="2">
        <f t="shared" si="107"/>
        <v>-7.7601680082118034E-4</v>
      </c>
      <c r="E1375" s="2">
        <f t="shared" si="109"/>
        <v>2.8255914617633875E-2</v>
      </c>
      <c r="F1375" s="2">
        <f t="shared" si="108"/>
        <v>-2.5894959753645095E-3</v>
      </c>
      <c r="G1375" s="2">
        <f t="shared" si="105"/>
        <v>-2.5894959753645095E-3</v>
      </c>
    </row>
    <row r="1376" spans="1:7" x14ac:dyDescent="0.25">
      <c r="A1376" s="18">
        <v>27.46</v>
      </c>
      <c r="B1376" s="2">
        <v>1.7149999999999999E-2</v>
      </c>
      <c r="C1376" s="2">
        <f t="shared" si="106"/>
        <v>-3.4299999999999997</v>
      </c>
      <c r="D1376" s="2">
        <f t="shared" si="107"/>
        <v>3.6233686062188191E-4</v>
      </c>
      <c r="E1376" s="2">
        <f t="shared" si="109"/>
        <v>2.8484736495830203E-2</v>
      </c>
      <c r="F1376" s="2">
        <f t="shared" si="108"/>
        <v>-2.8020105818655616E-2</v>
      </c>
      <c r="G1376" s="2">
        <f t="shared" si="105"/>
        <v>-2.8020105818655616E-2</v>
      </c>
    </row>
    <row r="1377" spans="1:7" x14ac:dyDescent="0.25">
      <c r="A1377" s="18">
        <v>27.48</v>
      </c>
      <c r="B1377" s="2">
        <v>8.4399999999999996E-3</v>
      </c>
      <c r="C1377" s="2">
        <f t="shared" si="106"/>
        <v>-1.6879999999999999</v>
      </c>
      <c r="D1377" s="2">
        <f t="shared" si="107"/>
        <v>1.4894824797374818E-3</v>
      </c>
      <c r="E1377" s="2">
        <f t="shared" si="109"/>
        <v>2.8458841536076553E-2</v>
      </c>
      <c r="F1377" s="2">
        <f t="shared" si="108"/>
        <v>-5.3124474392125719E-2</v>
      </c>
      <c r="G1377" s="2">
        <f t="shared" si="105"/>
        <v>-5.3124474392125719E-2</v>
      </c>
    </row>
    <row r="1378" spans="1:7" x14ac:dyDescent="0.25">
      <c r="A1378" s="18">
        <v>27.5</v>
      </c>
      <c r="B1378" s="2">
        <v>-2.7E-4</v>
      </c>
      <c r="C1378" s="2">
        <f t="shared" si="106"/>
        <v>5.3999999999999999E-2</v>
      </c>
      <c r="D1378" s="2">
        <f t="shared" si="107"/>
        <v>2.5953783090962314E-3</v>
      </c>
      <c r="E1378" s="2">
        <f t="shared" si="109"/>
        <v>2.8178640477889996E-2</v>
      </c>
      <c r="F1378" s="2">
        <f t="shared" si="108"/>
        <v>-7.759134927288612E-2</v>
      </c>
      <c r="G1378" s="2">
        <f t="shared" si="105"/>
        <v>-7.759134927288612E-2</v>
      </c>
    </row>
    <row r="1379" spans="1:7" x14ac:dyDescent="0.25">
      <c r="A1379" s="18">
        <v>27.52</v>
      </c>
      <c r="B1379" s="2">
        <v>-8.9800000000000001E-3</v>
      </c>
      <c r="C1379" s="2">
        <f t="shared" si="106"/>
        <v>1.796</v>
      </c>
      <c r="D1379" s="2">
        <f t="shared" si="107"/>
        <v>3.6702375987458266E-3</v>
      </c>
      <c r="E1379" s="2">
        <f t="shared" si="109"/>
        <v>2.7647395733968738E-2</v>
      </c>
      <c r="F1379" s="2">
        <f t="shared" si="108"/>
        <v>-0.1011271279623767</v>
      </c>
      <c r="G1379" s="2">
        <f t="shared" si="105"/>
        <v>-0.1011271279623767</v>
      </c>
    </row>
    <row r="1380" spans="1:7" x14ac:dyDescent="0.25">
      <c r="A1380" s="18">
        <v>27.54</v>
      </c>
      <c r="B1380" s="2">
        <v>-1.2600000000000001E-3</v>
      </c>
      <c r="C1380" s="2">
        <f t="shared" si="106"/>
        <v>0.252</v>
      </c>
      <c r="D1380" s="2">
        <f t="shared" si="107"/>
        <v>4.7046460372104715E-3</v>
      </c>
      <c r="E1380" s="2">
        <f t="shared" si="109"/>
        <v>2.6871482241239877E-2</v>
      </c>
      <c r="F1380" s="2">
        <f t="shared" si="108"/>
        <v>-0.13987938111631373</v>
      </c>
      <c r="G1380" s="2">
        <f t="shared" si="105"/>
        <v>-0.13987938111631373</v>
      </c>
    </row>
    <row r="1381" spans="1:7" x14ac:dyDescent="0.25">
      <c r="A1381" s="18">
        <v>27.56</v>
      </c>
      <c r="B1381" s="2">
        <v>6.45E-3</v>
      </c>
      <c r="C1381" s="2">
        <f t="shared" si="106"/>
        <v>-1.29</v>
      </c>
      <c r="D1381" s="2">
        <f t="shared" si="107"/>
        <v>5.6831027232285905E-3</v>
      </c>
      <c r="E1381" s="2">
        <f t="shared" si="109"/>
        <v>2.5860210961616122E-2</v>
      </c>
      <c r="F1381" s="2">
        <f t="shared" si="108"/>
        <v>-0.17694308169685688</v>
      </c>
      <c r="G1381" s="2">
        <f t="shared" si="105"/>
        <v>-0.17694308169685688</v>
      </c>
    </row>
    <row r="1382" spans="1:7" x14ac:dyDescent="0.25">
      <c r="A1382" s="18">
        <v>27.58</v>
      </c>
      <c r="B1382" s="2">
        <v>1.417E-2</v>
      </c>
      <c r="C1382" s="2">
        <f t="shared" si="106"/>
        <v>-2.8340000000000001</v>
      </c>
      <c r="D1382" s="2">
        <f t="shared" si="107"/>
        <v>6.5907821765679667E-3</v>
      </c>
      <c r="E1382" s="2">
        <f t="shared" si="109"/>
        <v>2.4461417150452976E-2</v>
      </c>
      <c r="F1382" s="2">
        <f t="shared" si="108"/>
        <v>-0.21189346529703604</v>
      </c>
      <c r="G1382" s="2">
        <f t="shared" si="105"/>
        <v>-0.21189346529703604</v>
      </c>
    </row>
    <row r="1383" spans="1:7" x14ac:dyDescent="0.25">
      <c r="A1383" s="18">
        <v>27.6</v>
      </c>
      <c r="B1383" s="2">
        <v>2.0389999999999998E-2</v>
      </c>
      <c r="C1383" s="2">
        <f t="shared" si="106"/>
        <v>-4.0779999999999994</v>
      </c>
      <c r="D1383" s="2">
        <f t="shared" si="107"/>
        <v>7.4137042437885286E-3</v>
      </c>
      <c r="E1383" s="2">
        <f t="shared" si="109"/>
        <v>2.2691986333484404E-2</v>
      </c>
      <c r="F1383" s="2">
        <f t="shared" si="108"/>
        <v>-0.24280112731365697</v>
      </c>
      <c r="G1383" s="2">
        <f t="shared" si="105"/>
        <v>-0.24280112731365697</v>
      </c>
    </row>
    <row r="1384" spans="1:7" x14ac:dyDescent="0.25">
      <c r="A1384" s="18">
        <v>27.62</v>
      </c>
      <c r="B1384" s="2">
        <v>2.6610000000000002E-2</v>
      </c>
      <c r="C1384" s="2">
        <f t="shared" si="106"/>
        <v>-5.3220000000000001</v>
      </c>
      <c r="D1384" s="2">
        <f t="shared" si="107"/>
        <v>8.1395058600836276E-3</v>
      </c>
      <c r="E1384" s="2">
        <f t="shared" si="109"/>
        <v>2.0573051680514046E-2</v>
      </c>
      <c r="F1384" s="2">
        <f t="shared" si="108"/>
        <v>-0.27079517580251394</v>
      </c>
      <c r="G1384" s="2">
        <f t="shared" si="105"/>
        <v>-0.27079517580251394</v>
      </c>
    </row>
    <row r="1385" spans="1:7" x14ac:dyDescent="0.25">
      <c r="A1385" s="18">
        <v>27.64</v>
      </c>
      <c r="B1385" s="2">
        <v>3.2829999999999998E-2</v>
      </c>
      <c r="C1385" s="2">
        <f t="shared" si="106"/>
        <v>-6.5659999999999998</v>
      </c>
      <c r="D1385" s="2">
        <f t="shared" si="107"/>
        <v>8.7569894060577219E-3</v>
      </c>
      <c r="E1385" s="2">
        <f t="shared" si="109"/>
        <v>1.8145040407377477E-2</v>
      </c>
      <c r="F1385" s="2">
        <f t="shared" si="108"/>
        <v>-0.29553968218173909</v>
      </c>
      <c r="G1385" s="2">
        <f t="shared" si="105"/>
        <v>-0.29553968218173909</v>
      </c>
    </row>
    <row r="1386" spans="1:7" x14ac:dyDescent="0.25">
      <c r="A1386" s="18">
        <v>27.66</v>
      </c>
      <c r="B1386" s="2">
        <v>3.9050000000000001E-2</v>
      </c>
      <c r="C1386" s="2">
        <f t="shared" si="106"/>
        <v>-7.8100000000000005</v>
      </c>
      <c r="D1386" s="2">
        <f t="shared" si="107"/>
        <v>9.2562570791591206E-3</v>
      </c>
      <c r="E1386" s="2">
        <f t="shared" si="109"/>
        <v>1.5437088649352358E-2</v>
      </c>
      <c r="F1386" s="2">
        <f t="shared" si="108"/>
        <v>-0.31673771237477383</v>
      </c>
      <c r="G1386" s="2">
        <f t="shared" si="105"/>
        <v>-0.31673771237477383</v>
      </c>
    </row>
    <row r="1387" spans="1:7" x14ac:dyDescent="0.25">
      <c r="A1387" s="18">
        <v>27.68</v>
      </c>
      <c r="B1387" s="2">
        <v>4.5269999999999998E-2</v>
      </c>
      <c r="C1387" s="2">
        <f t="shared" si="106"/>
        <v>-9.0540000000000003</v>
      </c>
      <c r="D1387" s="2">
        <f t="shared" si="107"/>
        <v>9.6288296673106098E-3</v>
      </c>
      <c r="E1387" s="2">
        <f t="shared" si="109"/>
        <v>1.2481691827534967E-2</v>
      </c>
      <c r="F1387" s="2">
        <f t="shared" si="108"/>
        <v>-0.33413489001931762</v>
      </c>
      <c r="G1387" s="2">
        <f t="shared" si="105"/>
        <v>-0.33413489001931762</v>
      </c>
    </row>
    <row r="1388" spans="1:7" x14ac:dyDescent="0.25">
      <c r="A1388" s="18">
        <v>27.7</v>
      </c>
      <c r="B1388" s="2">
        <v>3.6389999999999999E-2</v>
      </c>
      <c r="C1388" s="2">
        <f t="shared" si="106"/>
        <v>-7.2779999999999996</v>
      </c>
      <c r="D1388" s="2">
        <f t="shared" si="107"/>
        <v>9.8677482994543719E-3</v>
      </c>
      <c r="E1388" s="2">
        <f t="shared" si="109"/>
        <v>9.3143147037872288E-3</v>
      </c>
      <c r="F1388" s="2">
        <f t="shared" si="108"/>
        <v>-0.33242244898363904</v>
      </c>
      <c r="G1388" s="2">
        <f t="shared" si="105"/>
        <v>-0.33242244898363904</v>
      </c>
    </row>
    <row r="1389" spans="1:7" x14ac:dyDescent="0.25">
      <c r="A1389" s="18">
        <v>27.72</v>
      </c>
      <c r="B1389" s="2">
        <v>2.75E-2</v>
      </c>
      <c r="C1389" s="2">
        <f t="shared" si="106"/>
        <v>-5.5</v>
      </c>
      <c r="D1389" s="2">
        <f t="shared" si="107"/>
        <v>9.9736979520046783E-3</v>
      </c>
      <c r="E1389" s="2">
        <f t="shared" si="109"/>
        <v>5.9729658035940526E-3</v>
      </c>
      <c r="F1389" s="2">
        <f t="shared" si="108"/>
        <v>-0.32671093856014283</v>
      </c>
      <c r="G1389" s="2">
        <f t="shared" si="105"/>
        <v>-0.32671093856014283</v>
      </c>
    </row>
    <row r="1390" spans="1:7" x14ac:dyDescent="0.25">
      <c r="A1390" s="18">
        <v>27.74</v>
      </c>
      <c r="B1390" s="2">
        <v>1.8620000000000001E-2</v>
      </c>
      <c r="C1390" s="2">
        <f t="shared" si="106"/>
        <v>-3.7240000000000002</v>
      </c>
      <c r="D1390" s="2">
        <f t="shared" si="107"/>
        <v>9.9489632291309277E-3</v>
      </c>
      <c r="E1390" s="2">
        <f t="shared" si="109"/>
        <v>2.6487413137576618E-3</v>
      </c>
      <c r="F1390" s="2">
        <f t="shared" si="108"/>
        <v>-0.31708889687392849</v>
      </c>
      <c r="G1390" s="2">
        <f t="shared" si="105"/>
        <v>-0.31708889687392849</v>
      </c>
    </row>
    <row r="1391" spans="1:7" x14ac:dyDescent="0.25">
      <c r="A1391" s="18">
        <v>27.76</v>
      </c>
      <c r="B1391" s="2">
        <v>9.7400000000000004E-3</v>
      </c>
      <c r="C1391" s="2">
        <f t="shared" si="106"/>
        <v>-1.9480000000000002</v>
      </c>
      <c r="D1391" s="2">
        <f t="shared" si="107"/>
        <v>9.7973929475076056E-3</v>
      </c>
      <c r="E1391" s="2">
        <f t="shared" si="109"/>
        <v>-6.183680718437664E-4</v>
      </c>
      <c r="F1391" s="2">
        <f t="shared" si="108"/>
        <v>-0.30366178842523239</v>
      </c>
      <c r="G1391" s="2">
        <f t="shared" si="105"/>
        <v>-0.30366178842523239</v>
      </c>
    </row>
    <row r="1392" spans="1:7" x14ac:dyDescent="0.25">
      <c r="A1392" s="18">
        <v>27.78</v>
      </c>
      <c r="B1392" s="2">
        <v>8.5999999999999998E-4</v>
      </c>
      <c r="C1392" s="2">
        <f t="shared" si="106"/>
        <v>-0.17199999999999999</v>
      </c>
      <c r="D1392" s="2">
        <f t="shared" si="107"/>
        <v>9.5243579505141906E-3</v>
      </c>
      <c r="E1392" s="2">
        <f t="shared" si="109"/>
        <v>-3.7892570405830515E-3</v>
      </c>
      <c r="F1392" s="2">
        <f t="shared" si="108"/>
        <v>-0.28659073851542827</v>
      </c>
      <c r="G1392" s="2">
        <f t="shared" si="105"/>
        <v>-0.28659073851542827</v>
      </c>
    </row>
    <row r="1393" spans="1:7" x14ac:dyDescent="0.25">
      <c r="A1393" s="18">
        <v>27.8</v>
      </c>
      <c r="B1393" s="2">
        <v>-1.333E-2</v>
      </c>
      <c r="C1393" s="2">
        <f t="shared" si="106"/>
        <v>2.6659999999999999</v>
      </c>
      <c r="D1393" s="2">
        <f t="shared" si="107"/>
        <v>9.1366866581146042E-3</v>
      </c>
      <c r="E1393" s="2">
        <f t="shared" si="109"/>
        <v>-6.8258749248353758E-3</v>
      </c>
      <c r="F1393" s="2">
        <f t="shared" si="108"/>
        <v>-0.26077059974343419</v>
      </c>
      <c r="G1393" s="2">
        <f t="shared" si="105"/>
        <v>-0.26077059974343419</v>
      </c>
    </row>
    <row r="1394" spans="1:7" x14ac:dyDescent="0.25">
      <c r="A1394" s="18">
        <v>27.82</v>
      </c>
      <c r="B1394" s="2">
        <v>-2.7519999999999999E-2</v>
      </c>
      <c r="C1394" s="2">
        <f t="shared" si="106"/>
        <v>5.5039999999999996</v>
      </c>
      <c r="D1394" s="2">
        <f t="shared" si="107"/>
        <v>8.6447071258176442E-3</v>
      </c>
      <c r="E1394" s="2">
        <f t="shared" si="109"/>
        <v>-9.6917823099896584E-3</v>
      </c>
      <c r="F1394" s="2">
        <f t="shared" si="108"/>
        <v>-0.23182121377451989</v>
      </c>
      <c r="G1394" s="2">
        <f t="shared" si="105"/>
        <v>-0.23182121377451989</v>
      </c>
    </row>
    <row r="1395" spans="1:7" x14ac:dyDescent="0.25">
      <c r="A1395" s="18">
        <v>27.84</v>
      </c>
      <c r="B1395" s="2">
        <v>-4.1709999999999997E-2</v>
      </c>
      <c r="C1395" s="2">
        <f t="shared" si="106"/>
        <v>8.3419999999999987</v>
      </c>
      <c r="D1395" s="2">
        <f t="shared" si="107"/>
        <v>8.0599991080108763E-3</v>
      </c>
      <c r="E1395" s="2">
        <f t="shared" si="109"/>
        <v>-1.2299488307424E-2</v>
      </c>
      <c r="F1395" s="2">
        <f t="shared" si="108"/>
        <v>-0.20008997324032565</v>
      </c>
      <c r="G1395" s="2">
        <f t="shared" si="105"/>
        <v>-0.20008997324032565</v>
      </c>
    </row>
    <row r="1396" spans="1:7" x14ac:dyDescent="0.25">
      <c r="A1396" s="18">
        <v>27.86</v>
      </c>
      <c r="B1396" s="2">
        <v>-2.8119999999999999E-2</v>
      </c>
      <c r="C1396" s="2">
        <f t="shared" si="106"/>
        <v>5.6239999999999997</v>
      </c>
      <c r="D1396" s="2">
        <f t="shared" si="107"/>
        <v>7.395255100907978E-3</v>
      </c>
      <c r="E1396" s="2">
        <f t="shared" si="109"/>
        <v>-1.4617700445169199E-2</v>
      </c>
      <c r="F1396" s="2">
        <f t="shared" si="108"/>
        <v>-0.19373765302724449</v>
      </c>
      <c r="G1396" s="2">
        <f t="shared" si="105"/>
        <v>-0.19373765302724449</v>
      </c>
    </row>
    <row r="1397" spans="1:7" x14ac:dyDescent="0.25">
      <c r="A1397" s="18">
        <v>27.88</v>
      </c>
      <c r="B1397" s="2">
        <v>-1.453E-2</v>
      </c>
      <c r="C1397" s="2">
        <f t="shared" si="106"/>
        <v>2.9059999999999997</v>
      </c>
      <c r="D1397" s="2">
        <f t="shared" si="107"/>
        <v>6.653016032594182E-3</v>
      </c>
      <c r="E1397" s="2">
        <f t="shared" si="109"/>
        <v>-1.6618600177572454E-2</v>
      </c>
      <c r="F1397" s="2">
        <f t="shared" si="108"/>
        <v>-0.18506048097782432</v>
      </c>
      <c r="G1397" s="2">
        <f t="shared" si="105"/>
        <v>-0.18506048097782432</v>
      </c>
    </row>
    <row r="1398" spans="1:7" x14ac:dyDescent="0.25">
      <c r="A1398" s="18">
        <v>27.9</v>
      </c>
      <c r="B1398" s="2">
        <v>-9.3999999999999997E-4</v>
      </c>
      <c r="C1398" s="2">
        <f t="shared" si="106"/>
        <v>0.188</v>
      </c>
      <c r="D1398" s="2">
        <f t="shared" si="107"/>
        <v>5.8367527718892562E-3</v>
      </c>
      <c r="E1398" s="2">
        <f t="shared" si="109"/>
        <v>-1.8555976707844899E-2</v>
      </c>
      <c r="F1398" s="2">
        <f t="shared" si="108"/>
        <v>-0.17416258315667815</v>
      </c>
      <c r="G1398" s="2">
        <f t="shared" si="105"/>
        <v>-0.17416258315667815</v>
      </c>
    </row>
    <row r="1399" spans="1:7" x14ac:dyDescent="0.25">
      <c r="A1399" s="18">
        <v>27.92</v>
      </c>
      <c r="B1399" s="2">
        <v>1.264E-2</v>
      </c>
      <c r="C1399" s="2">
        <f t="shared" si="106"/>
        <v>-2.528</v>
      </c>
      <c r="D1399" s="2">
        <f t="shared" si="107"/>
        <v>4.9508244779216592E-3</v>
      </c>
      <c r="E1399" s="2">
        <f t="shared" si="109"/>
        <v>-2.0406581517623142E-2</v>
      </c>
      <c r="F1399" s="2">
        <f t="shared" si="108"/>
        <v>-0.16116473433765327</v>
      </c>
      <c r="G1399" s="2">
        <f t="shared" si="105"/>
        <v>-0.16116473433765327</v>
      </c>
    </row>
    <row r="1400" spans="1:7" x14ac:dyDescent="0.25">
      <c r="A1400" s="18">
        <v>27.94</v>
      </c>
      <c r="B1400" s="2">
        <v>2.623E-2</v>
      </c>
      <c r="C1400" s="2">
        <f t="shared" si="106"/>
        <v>-5.2459999999999996</v>
      </c>
      <c r="D1400" s="2">
        <f t="shared" si="107"/>
        <v>4.0004302902190009E-3</v>
      </c>
      <c r="E1400" s="2">
        <f t="shared" si="109"/>
        <v>-2.2148207349189927E-2</v>
      </c>
      <c r="F1400" s="2">
        <f t="shared" si="108"/>
        <v>-0.1462429087065707</v>
      </c>
      <c r="G1400" s="2">
        <f t="shared" si="105"/>
        <v>-0.1462429087065707</v>
      </c>
    </row>
    <row r="1401" spans="1:7" x14ac:dyDescent="0.25">
      <c r="A1401" s="18">
        <v>27.96</v>
      </c>
      <c r="B1401" s="2">
        <v>1.6899999999999998E-2</v>
      </c>
      <c r="C1401" s="2">
        <f t="shared" si="106"/>
        <v>-3.38</v>
      </c>
      <c r="D1401" s="2">
        <f t="shared" si="107"/>
        <v>2.9915389390337143E-3</v>
      </c>
      <c r="E1401" s="2">
        <f t="shared" si="109"/>
        <v>-2.3759854692566459E-2</v>
      </c>
      <c r="F1401" s="2">
        <f t="shared" si="108"/>
        <v>-0.10664616817101211</v>
      </c>
      <c r="G1401" s="2">
        <f t="shared" si="105"/>
        <v>-0.10664616817101211</v>
      </c>
    </row>
    <row r="1402" spans="1:7" x14ac:dyDescent="0.25">
      <c r="A1402" s="18">
        <v>27.98</v>
      </c>
      <c r="B1402" s="2">
        <v>7.5599999999999999E-3</v>
      </c>
      <c r="C1402" s="2">
        <f t="shared" si="106"/>
        <v>-1.512</v>
      </c>
      <c r="D1402" s="2">
        <f t="shared" si="107"/>
        <v>1.9399891205800228E-3</v>
      </c>
      <c r="E1402" s="2">
        <f t="shared" si="109"/>
        <v>-2.5222283779632166E-2</v>
      </c>
      <c r="F1402" s="2">
        <f t="shared" si="108"/>
        <v>-6.5759673617400385E-2</v>
      </c>
      <c r="G1402" s="2">
        <f t="shared" si="105"/>
        <v>-6.5759673617400385E-2</v>
      </c>
    </row>
    <row r="1403" spans="1:7" x14ac:dyDescent="0.25">
      <c r="A1403" s="18">
        <v>28</v>
      </c>
      <c r="B1403" s="2">
        <v>-1.7700000000000001E-3</v>
      </c>
      <c r="C1403" s="2">
        <f t="shared" si="106"/>
        <v>0.35400000000000004</v>
      </c>
      <c r="D1403" s="2">
        <f t="shared" si="107"/>
        <v>8.6213543267937116E-4</v>
      </c>
      <c r="E1403" s="2">
        <f t="shared" si="109"/>
        <v>-2.6288745461342286E-2</v>
      </c>
      <c r="F1403" s="2">
        <f t="shared" si="108"/>
        <v>-2.4094062980380637E-2</v>
      </c>
      <c r="G1403" s="2">
        <f t="shared" si="105"/>
        <v>-2.4094062980380637E-2</v>
      </c>
    </row>
    <row r="1404" spans="1:7" x14ac:dyDescent="0.25">
      <c r="A1404" s="18">
        <v>28.02</v>
      </c>
      <c r="B1404" s="2">
        <v>-1.111E-2</v>
      </c>
      <c r="C1404" s="2">
        <f t="shared" si="106"/>
        <v>2.222</v>
      </c>
      <c r="D1404" s="2">
        <f t="shared" si="107"/>
        <v>-2.2535588041343272E-4</v>
      </c>
      <c r="E1404" s="2">
        <f t="shared" si="109"/>
        <v>-2.6946342197516286E-2</v>
      </c>
      <c r="F1404" s="2">
        <f t="shared" si="108"/>
        <v>1.7870676412403211E-2</v>
      </c>
      <c r="G1404" s="2">
        <f t="shared" si="105"/>
        <v>1.7870676412403211E-2</v>
      </c>
    </row>
    <row r="1405" spans="1:7" x14ac:dyDescent="0.25">
      <c r="A1405" s="18">
        <v>28.04</v>
      </c>
      <c r="B1405" s="2">
        <v>-2.044E-2</v>
      </c>
      <c r="C1405" s="2">
        <f t="shared" si="106"/>
        <v>4.0880000000000001</v>
      </c>
      <c r="D1405" s="2">
        <f t="shared" si="107"/>
        <v>-1.3056989229412754E-3</v>
      </c>
      <c r="E1405" s="2">
        <f t="shared" si="109"/>
        <v>-2.7187282827320098E-2</v>
      </c>
      <c r="F1405" s="2">
        <f t="shared" si="108"/>
        <v>5.9610967688238217E-2</v>
      </c>
      <c r="G1405" s="2">
        <f t="shared" si="105"/>
        <v>5.9610967688238217E-2</v>
      </c>
    </row>
    <row r="1406" spans="1:7" x14ac:dyDescent="0.25">
      <c r="A1406" s="18">
        <v>28.06</v>
      </c>
      <c r="B1406" s="2">
        <v>-2.9770000000000001E-2</v>
      </c>
      <c r="C1406" s="2">
        <f t="shared" si="106"/>
        <v>5.9540000000000006</v>
      </c>
      <c r="D1406" s="2">
        <f t="shared" si="107"/>
        <v>-2.3621975783938228E-3</v>
      </c>
      <c r="E1406" s="2">
        <f t="shared" si="109"/>
        <v>-2.7008576063196066E-2</v>
      </c>
      <c r="F1406" s="2">
        <f t="shared" si="108"/>
        <v>0.10063592735181617</v>
      </c>
      <c r="G1406" s="2">
        <f t="shared" si="105"/>
        <v>0.10063592735181617</v>
      </c>
    </row>
    <row r="1407" spans="1:7" x14ac:dyDescent="0.25">
      <c r="A1407" s="18">
        <v>28.08</v>
      </c>
      <c r="B1407" s="2">
        <v>-3.9109999999999999E-2</v>
      </c>
      <c r="C1407" s="2">
        <f t="shared" si="106"/>
        <v>7.8220000000000001</v>
      </c>
      <c r="D1407" s="2">
        <f t="shared" si="107"/>
        <v>-3.3784418629056435E-3</v>
      </c>
      <c r="E1407" s="2">
        <f t="shared" si="109"/>
        <v>-2.6412466386313685E-2</v>
      </c>
      <c r="F1407" s="2">
        <f t="shared" si="108"/>
        <v>0.1404632558871699</v>
      </c>
      <c r="G1407" s="2">
        <f t="shared" si="105"/>
        <v>0.1404632558871699</v>
      </c>
    </row>
    <row r="1408" spans="1:7" x14ac:dyDescent="0.25">
      <c r="A1408" s="18">
        <v>28.1</v>
      </c>
      <c r="B1408" s="2">
        <v>-2.4420000000000001E-2</v>
      </c>
      <c r="C1408" s="2">
        <f t="shared" si="106"/>
        <v>4.8840000000000003</v>
      </c>
      <c r="D1408" s="2">
        <f t="shared" si="107"/>
        <v>-4.3385008450625958E-3</v>
      </c>
      <c r="E1408" s="2">
        <f t="shared" si="109"/>
        <v>-2.5406107112795517E-2</v>
      </c>
      <c r="F1408" s="2">
        <f t="shared" si="108"/>
        <v>0.15457502535187911</v>
      </c>
      <c r="G1408" s="2">
        <f t="shared" si="105"/>
        <v>0.15457502535187911</v>
      </c>
    </row>
    <row r="1409" spans="1:7" x14ac:dyDescent="0.25">
      <c r="A1409" s="18">
        <v>28.12</v>
      </c>
      <c r="B1409" s="2">
        <v>-9.7300000000000008E-3</v>
      </c>
      <c r="C1409" s="2">
        <f t="shared" si="106"/>
        <v>1.9460000000000002</v>
      </c>
      <c r="D1409" s="2">
        <f t="shared" si="107"/>
        <v>-5.236729817078796E-3</v>
      </c>
      <c r="E1409" s="2">
        <f t="shared" si="109"/>
        <v>-2.4001474553923808E-2</v>
      </c>
      <c r="F1409" s="2">
        <f t="shared" si="108"/>
        <v>0.16683189451236358</v>
      </c>
      <c r="G1409" s="2">
        <f t="shared" si="105"/>
        <v>0.16683189451236358</v>
      </c>
    </row>
    <row r="1410" spans="1:7" x14ac:dyDescent="0.25">
      <c r="A1410" s="18">
        <v>28.14</v>
      </c>
      <c r="B1410" s="2">
        <v>4.96E-3</v>
      </c>
      <c r="C1410" s="2">
        <f t="shared" si="106"/>
        <v>-0.99199999999999999</v>
      </c>
      <c r="D1410" s="2">
        <f t="shared" si="107"/>
        <v>-6.0682260312900508E-3</v>
      </c>
      <c r="E1410" s="2">
        <f t="shared" si="109"/>
        <v>-2.2455724300405006E-2</v>
      </c>
      <c r="F1410" s="2">
        <f t="shared" si="108"/>
        <v>0.17708678093869859</v>
      </c>
      <c r="G1410" s="2">
        <f t="shared" ref="G1410:G1473" si="110">HLOOKUP($Y$3,$B$1:$F$1562,ROW(),0)</f>
        <v>0.17708678093869859</v>
      </c>
    </row>
    <row r="1411" spans="1:7" x14ac:dyDescent="0.25">
      <c r="A1411" s="18">
        <v>28.16</v>
      </c>
      <c r="B1411" s="2">
        <v>1.9650000000000001E-2</v>
      </c>
      <c r="C1411" s="2">
        <f t="shared" ref="C1411:C1474" si="111">-$M$4*B1411</f>
        <v>-3.93</v>
      </c>
      <c r="D1411" s="2">
        <f t="shared" si="107"/>
        <v>-6.8288875331258261E-3</v>
      </c>
      <c r="E1411" s="2">
        <f t="shared" si="109"/>
        <v>-2.0787405355281369E-2</v>
      </c>
      <c r="F1411" s="2">
        <f t="shared" si="108"/>
        <v>0.18521662599377134</v>
      </c>
      <c r="G1411" s="2">
        <f t="shared" si="110"/>
        <v>0.18521662599377134</v>
      </c>
    </row>
    <row r="1412" spans="1:7" x14ac:dyDescent="0.25">
      <c r="A1412" s="18">
        <v>28.18</v>
      </c>
      <c r="B1412" s="2">
        <v>3.4340000000000002E-2</v>
      </c>
      <c r="C1412" s="2">
        <f t="shared" si="111"/>
        <v>-6.8680000000000003</v>
      </c>
      <c r="D1412" s="2">
        <f t="shared" ref="D1412:D1475" si="112">(C1411-($Q$6*D1411)-($Q$7*D1410))/$Q$5</f>
        <v>-7.5154623845640929E-3</v>
      </c>
      <c r="E1412" s="2">
        <f t="shared" si="109"/>
        <v>-1.9016537545894382E-2</v>
      </c>
      <c r="F1412" s="2">
        <f t="shared" ref="F1412:F1475" si="113">(D1411-2*D1412+D1413)/($A$4^2)</f>
        <v>0.19112387153691865</v>
      </c>
      <c r="G1412" s="2">
        <f t="shared" si="110"/>
        <v>0.19112387153691865</v>
      </c>
    </row>
    <row r="1413" spans="1:7" x14ac:dyDescent="0.25">
      <c r="A1413" s="18">
        <v>28.2</v>
      </c>
      <c r="B1413" s="2">
        <v>2.0539999999999999E-2</v>
      </c>
      <c r="C1413" s="2">
        <f t="shared" si="111"/>
        <v>-4.1079999999999997</v>
      </c>
      <c r="D1413" s="2">
        <f t="shared" si="112"/>
        <v>-8.1255876873875914E-3</v>
      </c>
      <c r="E1413" s="2">
        <f t="shared" ref="E1413:E1476" si="114">(D1412-D1411)/(2*$A$4)</f>
        <v>-1.7164371285956669E-2</v>
      </c>
      <c r="F1413" s="2">
        <f t="shared" si="113"/>
        <v>0.22322763062162468</v>
      </c>
      <c r="G1413" s="2">
        <f t="shared" si="110"/>
        <v>0.22322763062162468</v>
      </c>
    </row>
    <row r="1414" spans="1:7" x14ac:dyDescent="0.25">
      <c r="A1414" s="18">
        <v>28.22</v>
      </c>
      <c r="B1414" s="2">
        <v>6.7400000000000003E-3</v>
      </c>
      <c r="C1414" s="2">
        <f t="shared" si="111"/>
        <v>-1.3480000000000001</v>
      </c>
      <c r="D1414" s="2">
        <f t="shared" si="112"/>
        <v>-8.64642193796244E-3</v>
      </c>
      <c r="E1414" s="2">
        <f t="shared" si="114"/>
        <v>-1.5253132570587462E-2</v>
      </c>
      <c r="F1414" s="2">
        <f t="shared" si="113"/>
        <v>0.25265265813887405</v>
      </c>
      <c r="G1414" s="2">
        <f t="shared" si="110"/>
        <v>0.25265265813887405</v>
      </c>
    </row>
    <row r="1415" spans="1:7" x14ac:dyDescent="0.25">
      <c r="A1415" s="18">
        <v>28.24</v>
      </c>
      <c r="B1415" s="2">
        <v>-7.0600000000000003E-3</v>
      </c>
      <c r="C1415" s="2">
        <f t="shared" si="111"/>
        <v>1.4120000000000001</v>
      </c>
      <c r="D1415" s="2">
        <f t="shared" si="112"/>
        <v>-9.066195125281739E-3</v>
      </c>
      <c r="E1415" s="2">
        <f t="shared" si="114"/>
        <v>-1.3020856264371215E-2</v>
      </c>
      <c r="F1415" s="2">
        <f t="shared" si="113"/>
        <v>0.27904585375845486</v>
      </c>
      <c r="G1415" s="2">
        <f t="shared" si="110"/>
        <v>0.27904585375845486</v>
      </c>
    </row>
    <row r="1416" spans="1:7" x14ac:dyDescent="0.25">
      <c r="A1416" s="18">
        <v>28.26</v>
      </c>
      <c r="B1416" s="2">
        <v>-2.086E-2</v>
      </c>
      <c r="C1416" s="2">
        <f t="shared" si="111"/>
        <v>4.1719999999999997</v>
      </c>
      <c r="D1416" s="2">
        <f t="shared" si="112"/>
        <v>-9.374349971097656E-3</v>
      </c>
      <c r="E1416" s="2">
        <f t="shared" si="114"/>
        <v>-1.0494329682982475E-2</v>
      </c>
      <c r="F1416" s="2">
        <f t="shared" si="113"/>
        <v>0.3020904991329334</v>
      </c>
      <c r="G1416" s="2">
        <f t="shared" si="110"/>
        <v>0.3020904991329334</v>
      </c>
    </row>
    <row r="1417" spans="1:7" x14ac:dyDescent="0.25">
      <c r="A1417" s="18">
        <v>28.28</v>
      </c>
      <c r="B1417" s="2">
        <v>-3.4660000000000003E-2</v>
      </c>
      <c r="C1417" s="2">
        <f t="shared" si="111"/>
        <v>6.9320000000000004</v>
      </c>
      <c r="D1417" s="2">
        <f t="shared" si="112"/>
        <v>-9.5616686172603996E-3</v>
      </c>
      <c r="E1417" s="2">
        <f t="shared" si="114"/>
        <v>-7.7038711453979256E-3</v>
      </c>
      <c r="F1417" s="2">
        <f t="shared" si="113"/>
        <v>0.32151005851781089</v>
      </c>
      <c r="G1417" s="2">
        <f t="shared" si="110"/>
        <v>0.32151005851781089</v>
      </c>
    </row>
    <row r="1418" spans="1:7" x14ac:dyDescent="0.25">
      <c r="A1418" s="18">
        <v>28.3</v>
      </c>
      <c r="B1418" s="2">
        <v>-2.6630000000000001E-2</v>
      </c>
      <c r="C1418" s="2">
        <f t="shared" si="111"/>
        <v>5.3260000000000005</v>
      </c>
      <c r="D1418" s="2">
        <f t="shared" si="112"/>
        <v>-9.6203832400160189E-3</v>
      </c>
      <c r="E1418" s="2">
        <f t="shared" si="114"/>
        <v>-4.6829661540685914E-3</v>
      </c>
      <c r="F1418" s="2">
        <f t="shared" si="113"/>
        <v>0.31524149720047778</v>
      </c>
      <c r="G1418" s="2">
        <f t="shared" si="110"/>
        <v>0.31524149720047778</v>
      </c>
    </row>
    <row r="1419" spans="1:7" x14ac:dyDescent="0.25">
      <c r="A1419" s="18">
        <v>28.32</v>
      </c>
      <c r="B1419" s="2">
        <v>-1.8599999999999998E-2</v>
      </c>
      <c r="C1419" s="2">
        <f t="shared" si="111"/>
        <v>3.7199999999999998</v>
      </c>
      <c r="D1419" s="2">
        <f t="shared" si="112"/>
        <v>-9.5530012638914471E-3</v>
      </c>
      <c r="E1419" s="2">
        <f t="shared" si="114"/>
        <v>-1.4678655688904821E-3</v>
      </c>
      <c r="F1419" s="2">
        <f t="shared" si="113"/>
        <v>0.30519003791673688</v>
      </c>
      <c r="G1419" s="2">
        <f t="shared" si="110"/>
        <v>0.30519003791673688</v>
      </c>
    </row>
    <row r="1420" spans="1:7" x14ac:dyDescent="0.25">
      <c r="A1420" s="18">
        <v>28.34</v>
      </c>
      <c r="B1420" s="2">
        <v>-1.057E-2</v>
      </c>
      <c r="C1420" s="2">
        <f t="shared" si="111"/>
        <v>2.1139999999999999</v>
      </c>
      <c r="D1420" s="2">
        <f t="shared" si="112"/>
        <v>-9.3635432726001805E-3</v>
      </c>
      <c r="E1420" s="2">
        <f t="shared" si="114"/>
        <v>1.6845494031142959E-3</v>
      </c>
      <c r="F1420" s="2">
        <f t="shared" si="113"/>
        <v>0.29147629817800541</v>
      </c>
      <c r="G1420" s="2">
        <f t="shared" si="110"/>
        <v>0.29147629817800541</v>
      </c>
    </row>
    <row r="1421" spans="1:7" x14ac:dyDescent="0.25">
      <c r="A1421" s="18">
        <v>28.36</v>
      </c>
      <c r="B1421" s="2">
        <v>-2.5400000000000002E-3</v>
      </c>
      <c r="C1421" s="2">
        <f t="shared" si="111"/>
        <v>0.50800000000000001</v>
      </c>
      <c r="D1421" s="2">
        <f t="shared" si="112"/>
        <v>-9.0574947620377117E-3</v>
      </c>
      <c r="E1421" s="2">
        <f t="shared" si="114"/>
        <v>4.736449782281665E-3</v>
      </c>
      <c r="F1421" s="2">
        <f t="shared" si="113"/>
        <v>0.27426484286113045</v>
      </c>
      <c r="G1421" s="2">
        <f t="shared" si="110"/>
        <v>0.27426484286113045</v>
      </c>
    </row>
    <row r="1422" spans="1:7" x14ac:dyDescent="0.25">
      <c r="A1422" s="18">
        <v>28.38</v>
      </c>
      <c r="B1422" s="2">
        <v>-6.3000000000000003E-4</v>
      </c>
      <c r="C1422" s="2">
        <f t="shared" si="111"/>
        <v>0.126</v>
      </c>
      <c r="D1422" s="2">
        <f t="shared" si="112"/>
        <v>-8.6417403143307907E-3</v>
      </c>
      <c r="E1422" s="2">
        <f t="shared" si="114"/>
        <v>7.6512127640617194E-3</v>
      </c>
      <c r="F1422" s="2">
        <f t="shared" si="113"/>
        <v>0.25988220942992424</v>
      </c>
      <c r="G1422" s="2">
        <f t="shared" si="110"/>
        <v>0.25988220942992424</v>
      </c>
    </row>
    <row r="1423" spans="1:7" x14ac:dyDescent="0.25">
      <c r="A1423" s="18">
        <v>28.4</v>
      </c>
      <c r="B1423" s="2">
        <v>1.2800000000000001E-3</v>
      </c>
      <c r="C1423" s="2">
        <f t="shared" si="111"/>
        <v>-0.25600000000000001</v>
      </c>
      <c r="D1423" s="2">
        <f t="shared" si="112"/>
        <v>-8.1220329828519001E-3</v>
      </c>
      <c r="E1423" s="2">
        <f t="shared" si="114"/>
        <v>1.0393861192673024E-2</v>
      </c>
      <c r="F1423" s="2">
        <f t="shared" si="113"/>
        <v>0.24238098948555722</v>
      </c>
      <c r="G1423" s="2">
        <f t="shared" si="110"/>
        <v>0.24238098948555722</v>
      </c>
    </row>
    <row r="1424" spans="1:7" x14ac:dyDescent="0.25">
      <c r="A1424" s="18">
        <v>28.42</v>
      </c>
      <c r="B1424" s="2">
        <v>3.1900000000000001E-3</v>
      </c>
      <c r="C1424" s="2">
        <f t="shared" si="111"/>
        <v>-0.63800000000000001</v>
      </c>
      <c r="D1424" s="2">
        <f t="shared" si="112"/>
        <v>-7.5053732555787865E-3</v>
      </c>
      <c r="E1424" s="2">
        <f t="shared" si="114"/>
        <v>1.2992683286972267E-2</v>
      </c>
      <c r="F1424" s="2">
        <f t="shared" si="113"/>
        <v>0.22197119766736081</v>
      </c>
      <c r="G1424" s="2">
        <f t="shared" si="110"/>
        <v>0.22197119766736081</v>
      </c>
    </row>
    <row r="1425" spans="1:7" x14ac:dyDescent="0.25">
      <c r="A1425" s="18">
        <v>28.44</v>
      </c>
      <c r="B1425" s="2">
        <v>5.1000000000000004E-3</v>
      </c>
      <c r="C1425" s="2">
        <f t="shared" si="111"/>
        <v>-1.02</v>
      </c>
      <c r="D1425" s="2">
        <f t="shared" si="112"/>
        <v>-6.7999250492387286E-3</v>
      </c>
      <c r="E1425" s="2">
        <f t="shared" si="114"/>
        <v>1.5416493181827839E-2</v>
      </c>
      <c r="F1425" s="2">
        <f t="shared" si="113"/>
        <v>0.1988977514771591</v>
      </c>
      <c r="G1425" s="2">
        <f t="shared" si="110"/>
        <v>0.1988977514771591</v>
      </c>
    </row>
    <row r="1426" spans="1:7" x14ac:dyDescent="0.25">
      <c r="A1426" s="18">
        <v>28.46</v>
      </c>
      <c r="B1426" s="2">
        <v>9.9900000000000006E-3</v>
      </c>
      <c r="C1426" s="2">
        <f t="shared" si="111"/>
        <v>-1.9980000000000002</v>
      </c>
      <c r="D1426" s="2">
        <f t="shared" si="112"/>
        <v>-6.0149177423078071E-3</v>
      </c>
      <c r="E1426" s="2">
        <f t="shared" si="114"/>
        <v>1.7636205158501447E-2</v>
      </c>
      <c r="F1426" s="2">
        <f t="shared" si="113"/>
        <v>0.1704575322692358</v>
      </c>
      <c r="G1426" s="2">
        <f t="shared" si="110"/>
        <v>0.1704575322692358</v>
      </c>
    </row>
    <row r="1427" spans="1:7" x14ac:dyDescent="0.25">
      <c r="A1427" s="18">
        <v>28.48</v>
      </c>
      <c r="B1427" s="2">
        <v>1.4880000000000001E-2</v>
      </c>
      <c r="C1427" s="2">
        <f t="shared" si="111"/>
        <v>-2.976</v>
      </c>
      <c r="D1427" s="2">
        <f t="shared" si="112"/>
        <v>-5.1617274224691912E-3</v>
      </c>
      <c r="E1427" s="2">
        <f t="shared" si="114"/>
        <v>1.9625182673273039E-2</v>
      </c>
      <c r="F1427" s="2">
        <f t="shared" si="113"/>
        <v>0.13997182267407515</v>
      </c>
      <c r="G1427" s="2">
        <f t="shared" si="110"/>
        <v>0.13997182267407515</v>
      </c>
    </row>
    <row r="1428" spans="1:7" x14ac:dyDescent="0.25">
      <c r="A1428" s="18">
        <v>28.5</v>
      </c>
      <c r="B1428" s="2">
        <v>7.9100000000000004E-3</v>
      </c>
      <c r="C1428" s="2">
        <f t="shared" si="111"/>
        <v>-1.5820000000000001</v>
      </c>
      <c r="D1428" s="2">
        <f t="shared" si="112"/>
        <v>-4.2525483735609453E-3</v>
      </c>
      <c r="E1428" s="2">
        <f t="shared" si="114"/>
        <v>2.1329757995965395E-2</v>
      </c>
      <c r="F1428" s="2">
        <f t="shared" si="113"/>
        <v>0.11966645120682758</v>
      </c>
      <c r="G1428" s="2">
        <f t="shared" si="110"/>
        <v>0.11966645120682758</v>
      </c>
    </row>
    <row r="1429" spans="1:7" x14ac:dyDescent="0.25">
      <c r="A1429" s="18">
        <v>28.52</v>
      </c>
      <c r="B1429" s="2">
        <v>9.3000000000000005E-4</v>
      </c>
      <c r="C1429" s="2">
        <f t="shared" si="111"/>
        <v>-0.186</v>
      </c>
      <c r="D1429" s="2">
        <f t="shared" si="112"/>
        <v>-3.2955027441699683E-3</v>
      </c>
      <c r="E1429" s="2">
        <f t="shared" si="114"/>
        <v>2.2729476222706147E-2</v>
      </c>
      <c r="F1429" s="2">
        <f t="shared" si="113"/>
        <v>9.7935082325098066E-2</v>
      </c>
      <c r="G1429" s="2">
        <f t="shared" si="110"/>
        <v>9.7935082325098066E-2</v>
      </c>
    </row>
    <row r="1430" spans="1:7" x14ac:dyDescent="0.25">
      <c r="A1430" s="18">
        <v>28.54</v>
      </c>
      <c r="B1430" s="2">
        <v>-6.0499999999999998E-3</v>
      </c>
      <c r="C1430" s="2">
        <f t="shared" si="111"/>
        <v>1.21</v>
      </c>
      <c r="D1430" s="2">
        <f t="shared" si="112"/>
        <v>-2.2992830818489522E-3</v>
      </c>
      <c r="E1430" s="2">
        <f t="shared" si="114"/>
        <v>2.3926140734774424E-2</v>
      </c>
      <c r="F1430" s="2">
        <f t="shared" si="113"/>
        <v>7.5028492455468748E-2</v>
      </c>
      <c r="G1430" s="2">
        <f t="shared" si="110"/>
        <v>7.5028492455468748E-2</v>
      </c>
    </row>
    <row r="1431" spans="1:7" x14ac:dyDescent="0.25">
      <c r="A1431" s="18">
        <v>28.56</v>
      </c>
      <c r="B1431" s="2">
        <v>3.4199999999999999E-3</v>
      </c>
      <c r="C1431" s="2">
        <f t="shared" si="111"/>
        <v>-0.68399999999999994</v>
      </c>
      <c r="D1431" s="2">
        <f t="shared" si="112"/>
        <v>-1.2730520225457485E-3</v>
      </c>
      <c r="E1431" s="2">
        <f t="shared" si="114"/>
        <v>2.4905491558025405E-2</v>
      </c>
      <c r="F1431" s="2">
        <f t="shared" si="113"/>
        <v>3.4771560676372618E-2</v>
      </c>
      <c r="G1431" s="2">
        <f t="shared" si="110"/>
        <v>3.4771560676372618E-2</v>
      </c>
    </row>
    <row r="1432" spans="1:7" x14ac:dyDescent="0.25">
      <c r="A1432" s="18">
        <v>28.58</v>
      </c>
      <c r="B1432" s="2">
        <v>1.2880000000000001E-2</v>
      </c>
      <c r="C1432" s="2">
        <f t="shared" si="111"/>
        <v>-2.5760000000000001</v>
      </c>
      <c r="D1432" s="2">
        <f t="shared" si="112"/>
        <v>-2.3291233897199573E-4</v>
      </c>
      <c r="E1432" s="2">
        <f t="shared" si="114"/>
        <v>2.5655776482580092E-2</v>
      </c>
      <c r="F1432" s="2">
        <f t="shared" si="113"/>
        <v>-5.8926298308401683E-3</v>
      </c>
      <c r="G1432" s="2">
        <f t="shared" si="110"/>
        <v>-5.8926298308401683E-3</v>
      </c>
    </row>
    <row r="1433" spans="1:7" x14ac:dyDescent="0.25">
      <c r="A1433" s="18">
        <v>28.6</v>
      </c>
      <c r="B1433" s="2">
        <v>2.2349999999999998E-2</v>
      </c>
      <c r="C1433" s="2">
        <f t="shared" si="111"/>
        <v>-4.47</v>
      </c>
      <c r="D1433" s="2">
        <f t="shared" si="112"/>
        <v>8.0487029266942099E-4</v>
      </c>
      <c r="E1433" s="2">
        <f t="shared" si="114"/>
        <v>2.600349208934382E-2</v>
      </c>
      <c r="F1433" s="2">
        <f t="shared" si="113"/>
        <v>-4.6496108780082417E-2</v>
      </c>
      <c r="G1433" s="2">
        <f t="shared" si="110"/>
        <v>-4.6496108780082417E-2</v>
      </c>
    </row>
    <row r="1434" spans="1:7" x14ac:dyDescent="0.25">
      <c r="A1434" s="18">
        <v>28.62</v>
      </c>
      <c r="B1434" s="2">
        <v>3.1809999999999998E-2</v>
      </c>
      <c r="C1434" s="2">
        <f t="shared" si="111"/>
        <v>-6.3619999999999992</v>
      </c>
      <c r="D1434" s="2">
        <f t="shared" si="112"/>
        <v>1.8240544807988047E-3</v>
      </c>
      <c r="E1434" s="2">
        <f t="shared" si="114"/>
        <v>2.594456579103542E-2</v>
      </c>
      <c r="F1434" s="2">
        <f t="shared" si="113"/>
        <v>-8.6531634423965109E-2</v>
      </c>
      <c r="G1434" s="2">
        <f t="shared" si="110"/>
        <v>-8.6531634423965109E-2</v>
      </c>
    </row>
    <row r="1435" spans="1:7" x14ac:dyDescent="0.25">
      <c r="A1435" s="18">
        <v>28.64</v>
      </c>
      <c r="B1435" s="2">
        <v>4.1279999999999997E-2</v>
      </c>
      <c r="C1435" s="2">
        <f t="shared" si="111"/>
        <v>-8.2560000000000002</v>
      </c>
      <c r="D1435" s="2">
        <f t="shared" si="112"/>
        <v>2.8086260151586025E-3</v>
      </c>
      <c r="E1435" s="2">
        <f t="shared" si="114"/>
        <v>2.5479604703234595E-2</v>
      </c>
      <c r="F1435" s="2">
        <f t="shared" si="113"/>
        <v>-0.12553878045475736</v>
      </c>
      <c r="G1435" s="2">
        <f t="shared" si="110"/>
        <v>-0.12553878045475736</v>
      </c>
    </row>
    <row r="1436" spans="1:7" x14ac:dyDescent="0.25">
      <c r="A1436" s="18">
        <v>28.66</v>
      </c>
      <c r="B1436" s="2">
        <v>2.707E-2</v>
      </c>
      <c r="C1436" s="2">
        <f t="shared" si="111"/>
        <v>-5.4139999999999997</v>
      </c>
      <c r="D1436" s="2">
        <f t="shared" si="112"/>
        <v>3.7429820373364973E-3</v>
      </c>
      <c r="E1436" s="2">
        <f t="shared" si="114"/>
        <v>2.4614288358994943E-2</v>
      </c>
      <c r="F1436" s="2">
        <f t="shared" si="113"/>
        <v>-0.13935946112009343</v>
      </c>
      <c r="G1436" s="2">
        <f t="shared" si="110"/>
        <v>-0.13935946112009343</v>
      </c>
    </row>
    <row r="1437" spans="1:7" x14ac:dyDescent="0.25">
      <c r="A1437" s="18">
        <v>28.68</v>
      </c>
      <c r="B1437" s="2">
        <v>1.2869999999999999E-2</v>
      </c>
      <c r="C1437" s="2">
        <f t="shared" si="111"/>
        <v>-2.5739999999999998</v>
      </c>
      <c r="D1437" s="2">
        <f t="shared" si="112"/>
        <v>4.6215942750663548E-3</v>
      </c>
      <c r="E1437" s="2">
        <f t="shared" si="114"/>
        <v>2.3358900554447372E-2</v>
      </c>
      <c r="F1437" s="2">
        <f t="shared" si="113"/>
        <v>-0.15151782825198684</v>
      </c>
      <c r="G1437" s="2">
        <f t="shared" si="110"/>
        <v>-0.15151782825198684</v>
      </c>
    </row>
    <row r="1438" spans="1:7" x14ac:dyDescent="0.25">
      <c r="A1438" s="18">
        <v>28.7</v>
      </c>
      <c r="B1438" s="2">
        <v>-1.34E-3</v>
      </c>
      <c r="C1438" s="2">
        <f t="shared" si="111"/>
        <v>0.26800000000000002</v>
      </c>
      <c r="D1438" s="2">
        <f t="shared" si="112"/>
        <v>5.4395993814954175E-3</v>
      </c>
      <c r="E1438" s="2">
        <f t="shared" si="114"/>
        <v>2.1965305943246437E-2</v>
      </c>
      <c r="F1438" s="2">
        <f t="shared" si="113"/>
        <v>-0.16184798144486298</v>
      </c>
      <c r="G1438" s="2">
        <f t="shared" si="110"/>
        <v>-0.16184798144486298</v>
      </c>
    </row>
    <row r="1439" spans="1:7" x14ac:dyDescent="0.25">
      <c r="A1439" s="18">
        <v>28.72</v>
      </c>
      <c r="B1439" s="2">
        <v>-1.554E-2</v>
      </c>
      <c r="C1439" s="2">
        <f t="shared" si="111"/>
        <v>3.1080000000000001</v>
      </c>
      <c r="D1439" s="2">
        <f t="shared" si="112"/>
        <v>6.1928652953465351E-3</v>
      </c>
      <c r="E1439" s="2">
        <f t="shared" si="114"/>
        <v>2.0450127660726569E-2</v>
      </c>
      <c r="F1439" s="2">
        <f t="shared" si="113"/>
        <v>-0.17024595886039329</v>
      </c>
      <c r="G1439" s="2">
        <f t="shared" si="110"/>
        <v>-0.17024595886039329</v>
      </c>
    </row>
    <row r="1440" spans="1:7" x14ac:dyDescent="0.25">
      <c r="A1440" s="18">
        <v>28.74</v>
      </c>
      <c r="B1440" s="2">
        <v>-2.9749999999999999E-2</v>
      </c>
      <c r="C1440" s="2">
        <f t="shared" si="111"/>
        <v>5.9499999999999993</v>
      </c>
      <c r="D1440" s="2">
        <f t="shared" si="112"/>
        <v>6.8780328256534953E-3</v>
      </c>
      <c r="E1440" s="2">
        <f t="shared" si="114"/>
        <v>1.8831647846277937E-2</v>
      </c>
      <c r="F1440" s="2">
        <f t="shared" si="113"/>
        <v>-0.17659098476960691</v>
      </c>
      <c r="G1440" s="2">
        <f t="shared" si="110"/>
        <v>-0.17659098476960691</v>
      </c>
    </row>
    <row r="1441" spans="1:7" x14ac:dyDescent="0.25">
      <c r="A1441" s="18">
        <v>28.76</v>
      </c>
      <c r="B1441" s="2">
        <v>-4.3950000000000003E-2</v>
      </c>
      <c r="C1441" s="2">
        <f t="shared" si="111"/>
        <v>8.7900000000000009</v>
      </c>
      <c r="D1441" s="2">
        <f t="shared" si="112"/>
        <v>7.4925639620526127E-3</v>
      </c>
      <c r="E1441" s="2">
        <f t="shared" si="114"/>
        <v>1.7129188257674004E-2</v>
      </c>
      <c r="F1441" s="2">
        <f t="shared" si="113"/>
        <v>-0.18082691886157734</v>
      </c>
      <c r="G1441" s="2">
        <f t="shared" si="110"/>
        <v>-0.18082691886157734</v>
      </c>
    </row>
    <row r="1442" spans="1:7" x14ac:dyDescent="0.25">
      <c r="A1442" s="18">
        <v>28.78</v>
      </c>
      <c r="B1442" s="2">
        <v>-3.6119999999999999E-2</v>
      </c>
      <c r="C1442" s="2">
        <f t="shared" si="111"/>
        <v>7.2240000000000002</v>
      </c>
      <c r="D1442" s="2">
        <f t="shared" si="112"/>
        <v>8.0347643309071001E-3</v>
      </c>
      <c r="E1442" s="2">
        <f t="shared" si="114"/>
        <v>1.5363278409977936E-2</v>
      </c>
      <c r="F1442" s="2">
        <f t="shared" si="113"/>
        <v>-0.20492292992721223</v>
      </c>
      <c r="G1442" s="2">
        <f t="shared" si="110"/>
        <v>-0.20492292992721223</v>
      </c>
    </row>
    <row r="1443" spans="1:7" x14ac:dyDescent="0.25">
      <c r="A1443" s="18">
        <v>28.8</v>
      </c>
      <c r="B1443" s="2">
        <v>-2.828E-2</v>
      </c>
      <c r="C1443" s="2">
        <f t="shared" si="111"/>
        <v>5.6559999999999997</v>
      </c>
      <c r="D1443" s="2">
        <f t="shared" si="112"/>
        <v>8.4949955277907035E-3</v>
      </c>
      <c r="E1443" s="2">
        <f t="shared" si="114"/>
        <v>1.3555009221362184E-2</v>
      </c>
      <c r="F1443" s="2">
        <f t="shared" si="113"/>
        <v>-0.2265698658337166</v>
      </c>
      <c r="G1443" s="2">
        <f t="shared" si="110"/>
        <v>-0.2265698658337166</v>
      </c>
    </row>
    <row r="1444" spans="1:7" x14ac:dyDescent="0.25">
      <c r="A1444" s="18">
        <v>28.82</v>
      </c>
      <c r="B1444" s="2">
        <v>-2.044E-2</v>
      </c>
      <c r="C1444" s="2">
        <f t="shared" si="111"/>
        <v>4.0880000000000001</v>
      </c>
      <c r="D1444" s="2">
        <f t="shared" si="112"/>
        <v>8.8645987783408202E-3</v>
      </c>
      <c r="E1444" s="2">
        <f t="shared" si="114"/>
        <v>1.1505779922090084E-2</v>
      </c>
      <c r="F1444" s="2">
        <f t="shared" si="113"/>
        <v>-0.24549796335022675</v>
      </c>
      <c r="G1444" s="2">
        <f t="shared" si="110"/>
        <v>-0.24549796335022675</v>
      </c>
    </row>
    <row r="1445" spans="1:7" x14ac:dyDescent="0.25">
      <c r="A1445" s="18">
        <v>28.84</v>
      </c>
      <c r="B1445" s="2">
        <v>-1.26E-2</v>
      </c>
      <c r="C1445" s="2">
        <f t="shared" si="111"/>
        <v>2.52</v>
      </c>
      <c r="D1445" s="2">
        <f t="shared" si="112"/>
        <v>9.1360028435508462E-3</v>
      </c>
      <c r="E1445" s="2">
        <f t="shared" si="114"/>
        <v>9.2400812637529178E-3</v>
      </c>
      <c r="F1445" s="2">
        <f t="shared" si="113"/>
        <v>-0.26148008530652023</v>
      </c>
      <c r="G1445" s="2">
        <f t="shared" si="110"/>
        <v>-0.26148008530652023</v>
      </c>
    </row>
    <row r="1446" spans="1:7" x14ac:dyDescent="0.25">
      <c r="A1446" s="18">
        <v>28.86</v>
      </c>
      <c r="B1446" s="2">
        <v>-4.7600000000000003E-3</v>
      </c>
      <c r="C1446" s="2">
        <f t="shared" si="111"/>
        <v>0.95200000000000007</v>
      </c>
      <c r="D1446" s="2">
        <f t="shared" si="112"/>
        <v>9.3028148746382641E-3</v>
      </c>
      <c r="E1446" s="2">
        <f t="shared" si="114"/>
        <v>6.7851016302506503E-3</v>
      </c>
      <c r="F1446" s="2">
        <f t="shared" si="113"/>
        <v>-0.2743244462391492</v>
      </c>
      <c r="G1446" s="2">
        <f t="shared" si="110"/>
        <v>-0.2743244462391492</v>
      </c>
    </row>
    <row r="1447" spans="1:7" x14ac:dyDescent="0.25">
      <c r="A1447" s="18">
        <v>28.88</v>
      </c>
      <c r="B1447" s="2">
        <v>3.0699999999999998E-3</v>
      </c>
      <c r="C1447" s="2">
        <f t="shared" si="111"/>
        <v>-0.61399999999999999</v>
      </c>
      <c r="D1447" s="2">
        <f t="shared" si="112"/>
        <v>9.3598971272300224E-3</v>
      </c>
      <c r="E1447" s="2">
        <f t="shared" si="114"/>
        <v>4.170300777185448E-3</v>
      </c>
      <c r="F1447" s="2">
        <f t="shared" si="113"/>
        <v>-0.28386691381690216</v>
      </c>
      <c r="G1447" s="2">
        <f t="shared" si="110"/>
        <v>-0.28386691381690216</v>
      </c>
    </row>
    <row r="1448" spans="1:7" x14ac:dyDescent="0.25">
      <c r="A1448" s="18">
        <v>28.9</v>
      </c>
      <c r="B1448" s="2">
        <v>1.091E-2</v>
      </c>
      <c r="C1448" s="2">
        <f t="shared" si="111"/>
        <v>-2.1819999999999999</v>
      </c>
      <c r="D1448" s="2">
        <f t="shared" si="112"/>
        <v>9.3034326142950197E-3</v>
      </c>
      <c r="E1448" s="2">
        <f t="shared" si="114"/>
        <v>1.427056314793956E-3</v>
      </c>
      <c r="F1448" s="2">
        <f t="shared" si="113"/>
        <v>-0.29001297842885188</v>
      </c>
      <c r="G1448" s="2">
        <f t="shared" si="110"/>
        <v>-0.29001297842885188</v>
      </c>
    </row>
    <row r="1449" spans="1:7" x14ac:dyDescent="0.25">
      <c r="A1449" s="18">
        <v>28.92</v>
      </c>
      <c r="B1449" s="2">
        <v>9.8399999999999998E-3</v>
      </c>
      <c r="C1449" s="2">
        <f t="shared" si="111"/>
        <v>-1.968</v>
      </c>
      <c r="D1449" s="2">
        <f t="shared" si="112"/>
        <v>9.1309629099884763E-3</v>
      </c>
      <c r="E1449" s="2">
        <f t="shared" si="114"/>
        <v>-1.4116128233750656E-3</v>
      </c>
      <c r="F1449" s="2">
        <f t="shared" si="113"/>
        <v>-0.2837688872996515</v>
      </c>
      <c r="G1449" s="2">
        <f t="shared" si="110"/>
        <v>-0.2837688872996515</v>
      </c>
    </row>
    <row r="1450" spans="1:7" x14ac:dyDescent="0.25">
      <c r="A1450" s="18">
        <v>28.94</v>
      </c>
      <c r="B1450" s="2">
        <v>8.7600000000000004E-3</v>
      </c>
      <c r="C1450" s="2">
        <f t="shared" si="111"/>
        <v>-1.752</v>
      </c>
      <c r="D1450" s="2">
        <f t="shared" si="112"/>
        <v>8.8449856507620724E-3</v>
      </c>
      <c r="E1450" s="2">
        <f t="shared" si="114"/>
        <v>-4.3117426076635847E-3</v>
      </c>
      <c r="F1450" s="2">
        <f t="shared" si="113"/>
        <v>-0.27410956952286791</v>
      </c>
      <c r="G1450" s="2">
        <f t="shared" si="110"/>
        <v>-0.27410956952286791</v>
      </c>
    </row>
    <row r="1451" spans="1:7" x14ac:dyDescent="0.25">
      <c r="A1451" s="18">
        <v>28.96</v>
      </c>
      <c r="B1451" s="2">
        <v>7.6800000000000002E-3</v>
      </c>
      <c r="C1451" s="2">
        <f t="shared" si="111"/>
        <v>-1.536</v>
      </c>
      <c r="D1451" s="2">
        <f t="shared" si="112"/>
        <v>8.4493645637265212E-3</v>
      </c>
      <c r="E1451" s="2">
        <f t="shared" si="114"/>
        <v>-7.1494314806600998E-3</v>
      </c>
      <c r="F1451" s="2">
        <f t="shared" si="113"/>
        <v>-0.26116093691179887</v>
      </c>
      <c r="G1451" s="2">
        <f t="shared" si="110"/>
        <v>-0.26116093691179887</v>
      </c>
    </row>
    <row r="1452" spans="1:7" x14ac:dyDescent="0.25">
      <c r="A1452" s="18">
        <v>28.98</v>
      </c>
      <c r="B1452" s="2">
        <v>6.6100000000000004E-3</v>
      </c>
      <c r="C1452" s="2">
        <f t="shared" si="111"/>
        <v>-1.3220000000000001</v>
      </c>
      <c r="D1452" s="2">
        <f t="shared" si="112"/>
        <v>7.9492791019262505E-3</v>
      </c>
      <c r="E1452" s="2">
        <f t="shared" si="114"/>
        <v>-9.8905271758887789E-3</v>
      </c>
      <c r="F1452" s="2">
        <f t="shared" si="113"/>
        <v>-0.24508837305778872</v>
      </c>
      <c r="G1452" s="2">
        <f t="shared" si="110"/>
        <v>-0.24508837305778872</v>
      </c>
    </row>
    <row r="1453" spans="1:7" x14ac:dyDescent="0.25">
      <c r="A1453" s="18">
        <v>29</v>
      </c>
      <c r="B1453" s="2">
        <v>1.234E-2</v>
      </c>
      <c r="C1453" s="2">
        <f t="shared" si="111"/>
        <v>-2.468</v>
      </c>
      <c r="D1453" s="2">
        <f t="shared" si="112"/>
        <v>7.3511582909028643E-3</v>
      </c>
      <c r="E1453" s="2">
        <f t="shared" si="114"/>
        <v>-1.2502136545006768E-2</v>
      </c>
      <c r="F1453" s="2">
        <f t="shared" si="113"/>
        <v>-0.23287474872708303</v>
      </c>
      <c r="G1453" s="2">
        <f t="shared" si="110"/>
        <v>-0.23287474872708303</v>
      </c>
    </row>
    <row r="1454" spans="1:7" x14ac:dyDescent="0.25">
      <c r="A1454" s="18">
        <v>29.02</v>
      </c>
      <c r="B1454" s="2">
        <v>1.8069999999999999E-2</v>
      </c>
      <c r="C1454" s="2">
        <f t="shared" si="111"/>
        <v>-3.6139999999999999</v>
      </c>
      <c r="D1454" s="2">
        <f t="shared" si="112"/>
        <v>6.6598875803886449E-3</v>
      </c>
      <c r="E1454" s="2">
        <f t="shared" si="114"/>
        <v>-1.4953020275584655E-2</v>
      </c>
      <c r="F1454" s="2">
        <f t="shared" si="113"/>
        <v>-0.21786662741165749</v>
      </c>
      <c r="G1454" s="2">
        <f t="shared" si="110"/>
        <v>-0.21786662741165749</v>
      </c>
    </row>
    <row r="1455" spans="1:7" x14ac:dyDescent="0.25">
      <c r="A1455" s="18">
        <v>29.04</v>
      </c>
      <c r="B1455" s="2">
        <v>2.3800000000000002E-2</v>
      </c>
      <c r="C1455" s="2">
        <f t="shared" si="111"/>
        <v>-4.7600000000000007</v>
      </c>
      <c r="D1455" s="2">
        <f t="shared" si="112"/>
        <v>5.8814702189097625E-3</v>
      </c>
      <c r="E1455" s="2">
        <f t="shared" si="114"/>
        <v>-1.7281767762855484E-2</v>
      </c>
      <c r="F1455" s="2">
        <f t="shared" si="113"/>
        <v>-0.20024410656729322</v>
      </c>
      <c r="G1455" s="2">
        <f t="shared" si="110"/>
        <v>-0.20024410656729322</v>
      </c>
    </row>
    <row r="1456" spans="1:7" x14ac:dyDescent="0.25">
      <c r="A1456" s="18">
        <v>29.06</v>
      </c>
      <c r="B1456" s="2">
        <v>2.9530000000000001E-2</v>
      </c>
      <c r="C1456" s="2">
        <f t="shared" si="111"/>
        <v>-5.9060000000000006</v>
      </c>
      <c r="D1456" s="2">
        <f t="shared" si="112"/>
        <v>5.0229552148039628E-3</v>
      </c>
      <c r="E1456" s="2">
        <f t="shared" si="114"/>
        <v>-1.946043403697206E-2</v>
      </c>
      <c r="F1456" s="2">
        <f t="shared" si="113"/>
        <v>-0.18021865644411628</v>
      </c>
      <c r="G1456" s="2">
        <f t="shared" si="110"/>
        <v>-0.18021865644411628</v>
      </c>
    </row>
    <row r="1457" spans="1:7" x14ac:dyDescent="0.25">
      <c r="A1457" s="18">
        <v>29.08</v>
      </c>
      <c r="B1457" s="2">
        <v>3.526E-2</v>
      </c>
      <c r="C1457" s="2">
        <f t="shared" si="111"/>
        <v>-7.0519999999999996</v>
      </c>
      <c r="D1457" s="2">
        <f t="shared" si="112"/>
        <v>4.0923527481205165E-3</v>
      </c>
      <c r="E1457" s="2">
        <f t="shared" si="114"/>
        <v>-2.1462875102644993E-2</v>
      </c>
      <c r="F1457" s="2">
        <f t="shared" si="113"/>
        <v>-0.15803058244361695</v>
      </c>
      <c r="G1457" s="2">
        <f t="shared" si="110"/>
        <v>-0.15803058244361695</v>
      </c>
    </row>
    <row r="1458" spans="1:7" x14ac:dyDescent="0.25">
      <c r="A1458" s="18">
        <v>29.1</v>
      </c>
      <c r="B1458" s="2">
        <v>2.784E-2</v>
      </c>
      <c r="C1458" s="2">
        <f t="shared" si="111"/>
        <v>-5.5679999999999996</v>
      </c>
      <c r="D1458" s="2">
        <f t="shared" si="112"/>
        <v>3.0985380484596235E-3</v>
      </c>
      <c r="E1458" s="2">
        <f t="shared" si="114"/>
        <v>-2.3265061667086154E-2</v>
      </c>
      <c r="F1458" s="2">
        <f t="shared" si="113"/>
        <v>-0.12079614145378884</v>
      </c>
      <c r="G1458" s="2">
        <f t="shared" si="110"/>
        <v>-0.12079614145378884</v>
      </c>
    </row>
    <row r="1459" spans="1:7" x14ac:dyDescent="0.25">
      <c r="A1459" s="18">
        <v>29.12</v>
      </c>
      <c r="B1459" s="2">
        <v>2.0420000000000001E-2</v>
      </c>
      <c r="C1459" s="2">
        <f t="shared" si="111"/>
        <v>-4.0840000000000005</v>
      </c>
      <c r="D1459" s="2">
        <f t="shared" si="112"/>
        <v>2.056404892217215E-3</v>
      </c>
      <c r="E1459" s="2">
        <f t="shared" si="114"/>
        <v>-2.4845367491522323E-2</v>
      </c>
      <c r="F1459" s="2">
        <f t="shared" si="113"/>
        <v>-8.2112146766516653E-2</v>
      </c>
      <c r="G1459" s="2">
        <f t="shared" si="110"/>
        <v>-8.2112146766516653E-2</v>
      </c>
    </row>
    <row r="1460" spans="1:7" x14ac:dyDescent="0.25">
      <c r="A1460" s="18">
        <v>29.14</v>
      </c>
      <c r="B1460" s="2">
        <v>1.2999999999999999E-2</v>
      </c>
      <c r="C1460" s="2">
        <f t="shared" si="111"/>
        <v>-2.6</v>
      </c>
      <c r="D1460" s="2">
        <f t="shared" si="112"/>
        <v>9.8142687726819979E-4</v>
      </c>
      <c r="E1460" s="2">
        <f t="shared" si="114"/>
        <v>-2.6053328906060214E-2</v>
      </c>
      <c r="F1460" s="2">
        <f t="shared" si="113"/>
        <v>-4.2442806318046478E-2</v>
      </c>
      <c r="G1460" s="2">
        <f t="shared" si="110"/>
        <v>-4.2442806318046478E-2</v>
      </c>
    </row>
    <row r="1461" spans="1:7" x14ac:dyDescent="0.25">
      <c r="A1461" s="18">
        <v>29.16</v>
      </c>
      <c r="B1461" s="2">
        <v>-3.415E-2</v>
      </c>
      <c r="C1461" s="2">
        <f t="shared" si="111"/>
        <v>6.83</v>
      </c>
      <c r="D1461" s="2">
        <f t="shared" si="112"/>
        <v>-1.10528260208034E-4</v>
      </c>
      <c r="E1461" s="2">
        <f t="shared" si="114"/>
        <v>-2.6874450373725378E-2</v>
      </c>
      <c r="F1461" s="2">
        <f t="shared" si="113"/>
        <v>3.7465847806240987E-2</v>
      </c>
      <c r="G1461" s="2">
        <f t="shared" si="110"/>
        <v>3.7465847806240987E-2</v>
      </c>
    </row>
    <row r="1462" spans="1:7" x14ac:dyDescent="0.25">
      <c r="A1462" s="18">
        <v>29.18</v>
      </c>
      <c r="B1462" s="2">
        <v>-6.28E-3</v>
      </c>
      <c r="C1462" s="2">
        <f t="shared" si="111"/>
        <v>1.256</v>
      </c>
      <c r="D1462" s="2">
        <f t="shared" si="112"/>
        <v>-1.1874970585617713E-3</v>
      </c>
      <c r="E1462" s="2">
        <f t="shared" si="114"/>
        <v>-2.7298878436905847E-2</v>
      </c>
      <c r="F1462" s="2">
        <f t="shared" si="113"/>
        <v>4.1904911756852466E-2</v>
      </c>
      <c r="G1462" s="2">
        <f t="shared" si="110"/>
        <v>4.1904911756852466E-2</v>
      </c>
    </row>
    <row r="1463" spans="1:7" x14ac:dyDescent="0.25">
      <c r="A1463" s="18">
        <v>29.2</v>
      </c>
      <c r="B1463" s="2">
        <v>-6.2100000000000002E-3</v>
      </c>
      <c r="C1463" s="2">
        <f t="shared" si="111"/>
        <v>1.242</v>
      </c>
      <c r="D1463" s="2">
        <f t="shared" si="112"/>
        <v>-2.2477038922127678E-3</v>
      </c>
      <c r="E1463" s="2">
        <f t="shared" si="114"/>
        <v>-2.6924219958843431E-2</v>
      </c>
      <c r="F1463" s="2">
        <f t="shared" si="113"/>
        <v>7.3641116766382519E-2</v>
      </c>
      <c r="G1463" s="2">
        <f t="shared" si="110"/>
        <v>7.3641116766382519E-2</v>
      </c>
    </row>
    <row r="1464" spans="1:7" x14ac:dyDescent="0.25">
      <c r="A1464" s="18">
        <v>29.22</v>
      </c>
      <c r="B1464" s="2">
        <v>-6.1500000000000001E-3</v>
      </c>
      <c r="C1464" s="2">
        <f t="shared" si="111"/>
        <v>1.23</v>
      </c>
      <c r="D1464" s="2">
        <f t="shared" si="112"/>
        <v>-3.2784542791572113E-3</v>
      </c>
      <c r="E1464" s="2">
        <f t="shared" si="114"/>
        <v>-2.6505170841274912E-2</v>
      </c>
      <c r="F1464" s="2">
        <f t="shared" si="113"/>
        <v>0.10450362837471829</v>
      </c>
      <c r="G1464" s="2">
        <f t="shared" si="110"/>
        <v>0.10450362837471829</v>
      </c>
    </row>
    <row r="1465" spans="1:7" x14ac:dyDescent="0.25">
      <c r="A1465" s="18">
        <v>29.24</v>
      </c>
      <c r="B1465" s="2">
        <v>-6.0899999999999999E-3</v>
      </c>
      <c r="C1465" s="2">
        <f t="shared" si="111"/>
        <v>1.218</v>
      </c>
      <c r="D1465" s="2">
        <f t="shared" si="112"/>
        <v>-4.2674032147517679E-3</v>
      </c>
      <c r="E1465" s="2">
        <f t="shared" si="114"/>
        <v>-2.5768759673611086E-2</v>
      </c>
      <c r="F1465" s="2">
        <f t="shared" si="113"/>
        <v>0.13411209644255362</v>
      </c>
      <c r="G1465" s="2">
        <f t="shared" si="110"/>
        <v>0.13411209644255362</v>
      </c>
    </row>
    <row r="1466" spans="1:7" x14ac:dyDescent="0.25">
      <c r="A1466" s="18">
        <v>29.26</v>
      </c>
      <c r="B1466" s="2">
        <v>-6.0200000000000002E-3</v>
      </c>
      <c r="C1466" s="2">
        <f t="shared" si="111"/>
        <v>1.204</v>
      </c>
      <c r="D1466" s="2">
        <f t="shared" si="112"/>
        <v>-5.2027073117693031E-3</v>
      </c>
      <c r="E1466" s="2">
        <f t="shared" si="114"/>
        <v>-2.4723723389863915E-2</v>
      </c>
      <c r="F1466" s="2">
        <f t="shared" si="113"/>
        <v>0.16210121935307997</v>
      </c>
      <c r="G1466" s="2">
        <f t="shared" si="110"/>
        <v>0.16210121935307997</v>
      </c>
    </row>
    <row r="1467" spans="1:7" x14ac:dyDescent="0.25">
      <c r="A1467" s="18">
        <v>29.28</v>
      </c>
      <c r="B1467" s="2">
        <v>-5.96E-3</v>
      </c>
      <c r="C1467" s="2">
        <f t="shared" si="111"/>
        <v>1.1919999999999999</v>
      </c>
      <c r="D1467" s="2">
        <f t="shared" si="112"/>
        <v>-6.0731709210456062E-3</v>
      </c>
      <c r="E1467" s="2">
        <f t="shared" si="114"/>
        <v>-2.3382602425438378E-2</v>
      </c>
      <c r="F1467" s="2">
        <f t="shared" si="113"/>
        <v>0.18815512763137004</v>
      </c>
      <c r="G1467" s="2">
        <f t="shared" si="110"/>
        <v>0.18815512763137004</v>
      </c>
    </row>
    <row r="1468" spans="1:7" x14ac:dyDescent="0.25">
      <c r="A1468" s="18">
        <v>29.3</v>
      </c>
      <c r="B1468" s="2">
        <v>-5.8999999999999999E-3</v>
      </c>
      <c r="C1468" s="2">
        <f t="shared" si="111"/>
        <v>1.18</v>
      </c>
      <c r="D1468" s="2">
        <f t="shared" si="112"/>
        <v>-6.8683724792693614E-3</v>
      </c>
      <c r="E1468" s="2">
        <f t="shared" si="114"/>
        <v>-2.1761590231907577E-2</v>
      </c>
      <c r="F1468" s="2">
        <f t="shared" si="113"/>
        <v>0.21195117437808503</v>
      </c>
      <c r="G1468" s="2">
        <f t="shared" si="110"/>
        <v>0.21195117437808503</v>
      </c>
    </row>
    <row r="1469" spans="1:7" x14ac:dyDescent="0.25">
      <c r="A1469" s="18">
        <v>29.32</v>
      </c>
      <c r="B1469" s="2">
        <v>-5.8300000000000001E-3</v>
      </c>
      <c r="C1469" s="2">
        <f t="shared" si="111"/>
        <v>1.1659999999999999</v>
      </c>
      <c r="D1469" s="2">
        <f t="shared" si="112"/>
        <v>-7.5787935677418825E-3</v>
      </c>
      <c r="E1469" s="2">
        <f t="shared" si="114"/>
        <v>-1.9880038955593878E-2</v>
      </c>
      <c r="F1469" s="2">
        <f t="shared" si="113"/>
        <v>0.23319380703225398</v>
      </c>
      <c r="G1469" s="2">
        <f t="shared" si="110"/>
        <v>0.23319380703225398</v>
      </c>
    </row>
    <row r="1470" spans="1:7" x14ac:dyDescent="0.25">
      <c r="A1470" s="18">
        <v>29.34</v>
      </c>
      <c r="B1470" s="2">
        <v>-5.77E-3</v>
      </c>
      <c r="C1470" s="2">
        <f t="shared" si="111"/>
        <v>1.1539999999999999</v>
      </c>
      <c r="D1470" s="2">
        <f t="shared" si="112"/>
        <v>-8.195937133401502E-3</v>
      </c>
      <c r="E1470" s="2">
        <f t="shared" si="114"/>
        <v>-1.7760527211813027E-2</v>
      </c>
      <c r="F1470" s="2">
        <f t="shared" si="113"/>
        <v>0.251648114002051</v>
      </c>
      <c r="G1470" s="2">
        <f t="shared" si="110"/>
        <v>0.251648114002051</v>
      </c>
    </row>
    <row r="1471" spans="1:7" x14ac:dyDescent="0.25">
      <c r="A1471" s="18">
        <v>29.36</v>
      </c>
      <c r="B1471" s="2">
        <v>-5.7099999999999998E-3</v>
      </c>
      <c r="C1471" s="2">
        <f t="shared" si="111"/>
        <v>1.1419999999999999</v>
      </c>
      <c r="D1471" s="2">
        <f t="shared" si="112"/>
        <v>-8.712421453460302E-3</v>
      </c>
      <c r="E1471" s="2">
        <f t="shared" si="114"/>
        <v>-1.5428589141490487E-2</v>
      </c>
      <c r="F1471" s="2">
        <f t="shared" si="113"/>
        <v>0.26708264360380662</v>
      </c>
      <c r="G1471" s="2">
        <f t="shared" si="110"/>
        <v>0.26708264360380662</v>
      </c>
    </row>
    <row r="1472" spans="1:7" x14ac:dyDescent="0.25">
      <c r="A1472" s="18">
        <v>29.38</v>
      </c>
      <c r="B1472" s="2">
        <v>-5.64E-3</v>
      </c>
      <c r="C1472" s="2">
        <f t="shared" si="111"/>
        <v>1.1280000000000001</v>
      </c>
      <c r="D1472" s="2">
        <f t="shared" si="112"/>
        <v>-9.1220727160775793E-3</v>
      </c>
      <c r="E1472" s="2">
        <f t="shared" si="114"/>
        <v>-1.291210800147E-2</v>
      </c>
      <c r="F1472" s="2">
        <f t="shared" si="113"/>
        <v>0.27930218148232777</v>
      </c>
      <c r="G1472" s="2">
        <f t="shared" si="110"/>
        <v>0.27930218148232777</v>
      </c>
    </row>
    <row r="1473" spans="1:7" x14ac:dyDescent="0.25">
      <c r="A1473" s="18">
        <v>29.4</v>
      </c>
      <c r="B1473" s="2">
        <v>-5.5799999999999999E-3</v>
      </c>
      <c r="C1473" s="2">
        <f t="shared" si="111"/>
        <v>1.1159999999999999</v>
      </c>
      <c r="D1473" s="2">
        <f t="shared" si="112"/>
        <v>-9.4200031061019256E-3</v>
      </c>
      <c r="E1473" s="2">
        <f t="shared" si="114"/>
        <v>-1.0241281565431934E-2</v>
      </c>
      <c r="F1473" s="2">
        <f t="shared" si="113"/>
        <v>0.28818009318305576</v>
      </c>
      <c r="G1473" s="2">
        <f t="shared" si="110"/>
        <v>0.28818009318305576</v>
      </c>
    </row>
    <row r="1474" spans="1:7" x14ac:dyDescent="0.25">
      <c r="A1474" s="18">
        <v>29.42</v>
      </c>
      <c r="B1474" s="2">
        <v>-5.5199999999999997E-3</v>
      </c>
      <c r="C1474" s="2">
        <f t="shared" si="111"/>
        <v>1.1039999999999999</v>
      </c>
      <c r="D1474" s="2">
        <f t="shared" si="112"/>
        <v>-9.6026614588530495E-3</v>
      </c>
      <c r="E1474" s="2">
        <f t="shared" si="114"/>
        <v>-7.4482597506086556E-3</v>
      </c>
      <c r="F1474" s="2">
        <f t="shared" si="113"/>
        <v>0.29359984376558196</v>
      </c>
      <c r="G1474" s="2">
        <f t="shared" ref="G1474:G1537" si="115">HLOOKUP($Y$3,$B$1:$F$1562,ROW(),0)</f>
        <v>0.29359984376558196</v>
      </c>
    </row>
    <row r="1475" spans="1:7" x14ac:dyDescent="0.25">
      <c r="A1475" s="18">
        <v>29.44</v>
      </c>
      <c r="B1475" s="2">
        <v>-5.45E-3</v>
      </c>
      <c r="C1475" s="2">
        <f t="shared" ref="C1475:C1538" si="116">-$M$4*B1475</f>
        <v>1.0900000000000001</v>
      </c>
      <c r="D1475" s="2">
        <f t="shared" si="112"/>
        <v>-9.6678798740979406E-3</v>
      </c>
      <c r="E1475" s="2">
        <f t="shared" si="114"/>
        <v>-4.5664588187780981E-3</v>
      </c>
      <c r="F1475" s="2">
        <f t="shared" si="113"/>
        <v>0.29548639622293832</v>
      </c>
      <c r="G1475" s="2">
        <f t="shared" si="115"/>
        <v>0.29548639622293832</v>
      </c>
    </row>
    <row r="1476" spans="1:7" x14ac:dyDescent="0.25">
      <c r="A1476" s="18">
        <v>29.46</v>
      </c>
      <c r="B1476" s="2">
        <v>-5.3899999999999998E-3</v>
      </c>
      <c r="C1476" s="2">
        <f t="shared" si="116"/>
        <v>1.0780000000000001</v>
      </c>
      <c r="D1476" s="2">
        <f t="shared" ref="D1476:D1539" si="117">(C1475-($Q$6*D1475)-($Q$7*D1474))/$Q$5</f>
        <v>-9.6149037308536564E-3</v>
      </c>
      <c r="E1476" s="2">
        <f t="shared" si="114"/>
        <v>-1.6304603811222781E-3</v>
      </c>
      <c r="F1476" s="2">
        <f t="shared" ref="F1476:F1539" si="118">(D1475-2*D1476+D1477)/($A$4^2)</f>
        <v>0.29383711192561018</v>
      </c>
      <c r="G1476" s="2">
        <f t="shared" si="115"/>
        <v>0.29383711192561018</v>
      </c>
    </row>
    <row r="1477" spans="1:7" x14ac:dyDescent="0.25">
      <c r="A1477" s="18">
        <v>29.48</v>
      </c>
      <c r="B1477" s="2">
        <v>-5.3200000000000001E-3</v>
      </c>
      <c r="C1477" s="2">
        <f t="shared" si="116"/>
        <v>1.0640000000000001</v>
      </c>
      <c r="D1477" s="2">
        <f t="shared" si="117"/>
        <v>-9.4443927428391281E-3</v>
      </c>
      <c r="E1477" s="2">
        <f t="shared" ref="E1477:E1540" si="119">(D1476-D1475)/(2*$A$4)</f>
        <v>1.3244035811071052E-3</v>
      </c>
      <c r="F1477" s="2">
        <f t="shared" si="118"/>
        <v>0.28865178228517763</v>
      </c>
      <c r="G1477" s="2">
        <f t="shared" si="115"/>
        <v>0.28865178228517763</v>
      </c>
    </row>
    <row r="1478" spans="1:7" x14ac:dyDescent="0.25">
      <c r="A1478" s="18">
        <v>29.5</v>
      </c>
      <c r="B1478" s="2">
        <v>-5.2599999999999999E-3</v>
      </c>
      <c r="C1478" s="2">
        <f t="shared" si="116"/>
        <v>1.052</v>
      </c>
      <c r="D1478" s="2">
        <f t="shared" si="117"/>
        <v>-9.1584210419105288E-3</v>
      </c>
      <c r="E1478" s="2">
        <f t="shared" si="119"/>
        <v>4.2627747003632071E-3</v>
      </c>
      <c r="F1478" s="2">
        <f t="shared" si="118"/>
        <v>0.28001263125731424</v>
      </c>
      <c r="G1478" s="2">
        <f t="shared" si="115"/>
        <v>0.28001263125731424</v>
      </c>
    </row>
    <row r="1479" spans="1:7" x14ac:dyDescent="0.25">
      <c r="A1479" s="18">
        <v>29.52</v>
      </c>
      <c r="B1479" s="2">
        <v>-5.1999999999999998E-3</v>
      </c>
      <c r="C1479" s="2">
        <f t="shared" si="116"/>
        <v>1.04</v>
      </c>
      <c r="D1479" s="2">
        <f t="shared" si="117"/>
        <v>-8.7604442884790037E-3</v>
      </c>
      <c r="E1479" s="2">
        <f t="shared" si="119"/>
        <v>7.1492925232149833E-3</v>
      </c>
      <c r="F1479" s="2">
        <f t="shared" si="118"/>
        <v>0.2680133286543781</v>
      </c>
      <c r="G1479" s="2">
        <f t="shared" si="115"/>
        <v>0.2680133286543781</v>
      </c>
    </row>
    <row r="1480" spans="1:7" x14ac:dyDescent="0.25">
      <c r="A1480" s="18">
        <v>29.54</v>
      </c>
      <c r="B1480" s="2">
        <v>-5.13E-3</v>
      </c>
      <c r="C1480" s="2">
        <f t="shared" si="116"/>
        <v>1.026</v>
      </c>
      <c r="D1480" s="2">
        <f t="shared" si="117"/>
        <v>-8.2552622035857275E-3</v>
      </c>
      <c r="E1480" s="2">
        <f t="shared" si="119"/>
        <v>9.949418835788126E-3</v>
      </c>
      <c r="F1480" s="2">
        <f t="shared" si="118"/>
        <v>0.25278786610757537</v>
      </c>
      <c r="G1480" s="2">
        <f t="shared" si="115"/>
        <v>0.25278786610757537</v>
      </c>
    </row>
    <row r="1481" spans="1:7" x14ac:dyDescent="0.25">
      <c r="A1481" s="18">
        <v>29.56</v>
      </c>
      <c r="B1481" s="2">
        <v>-5.0699999999999999E-3</v>
      </c>
      <c r="C1481" s="2">
        <f t="shared" si="116"/>
        <v>1.014</v>
      </c>
      <c r="D1481" s="2">
        <f t="shared" si="117"/>
        <v>-7.648964972249421E-3</v>
      </c>
      <c r="E1481" s="2">
        <f t="shared" si="119"/>
        <v>1.2629552122331907E-2</v>
      </c>
      <c r="F1481" s="2">
        <f t="shared" si="118"/>
        <v>0.23453894916748447</v>
      </c>
      <c r="G1481" s="2">
        <f t="shared" si="115"/>
        <v>0.23453894916748447</v>
      </c>
    </row>
    <row r="1482" spans="1:7" x14ac:dyDescent="0.25">
      <c r="A1482" s="18">
        <v>29.58</v>
      </c>
      <c r="B1482" s="2">
        <v>-5.0099999999999997E-3</v>
      </c>
      <c r="C1482" s="2">
        <f t="shared" si="116"/>
        <v>1.002</v>
      </c>
      <c r="D1482" s="2">
        <f t="shared" si="117"/>
        <v>-6.9488521612461208E-3</v>
      </c>
      <c r="E1482" s="2">
        <f t="shared" si="119"/>
        <v>1.5157430783407661E-2</v>
      </c>
      <c r="F1482" s="2">
        <f t="shared" si="118"/>
        <v>0.21347556483738547</v>
      </c>
      <c r="G1482" s="2">
        <f t="shared" si="115"/>
        <v>0.21347556483738547</v>
      </c>
    </row>
    <row r="1483" spans="1:7" x14ac:dyDescent="0.25">
      <c r="A1483" s="18">
        <v>29.6</v>
      </c>
      <c r="B1483" s="2">
        <v>-4.9399999999999999E-3</v>
      </c>
      <c r="C1483" s="2">
        <f t="shared" si="116"/>
        <v>0.98799999999999999</v>
      </c>
      <c r="D1483" s="2">
        <f t="shared" si="117"/>
        <v>-6.1633491243078663E-3</v>
      </c>
      <c r="E1483" s="2">
        <f t="shared" si="119"/>
        <v>1.7502820275082504E-2</v>
      </c>
      <c r="F1483" s="2">
        <f t="shared" si="118"/>
        <v>0.18984047372923826</v>
      </c>
      <c r="G1483" s="2">
        <f t="shared" si="115"/>
        <v>0.18984047372923826</v>
      </c>
    </row>
    <row r="1484" spans="1:7" x14ac:dyDescent="0.25">
      <c r="A1484" s="18">
        <v>29.62</v>
      </c>
      <c r="B1484" s="2">
        <v>-4.8799999999999998E-3</v>
      </c>
      <c r="C1484" s="2">
        <f t="shared" si="116"/>
        <v>0.97599999999999998</v>
      </c>
      <c r="D1484" s="2">
        <f t="shared" si="117"/>
        <v>-5.3019098978779166E-3</v>
      </c>
      <c r="E1484" s="2">
        <f t="shared" si="119"/>
        <v>1.9637575923456361E-2</v>
      </c>
      <c r="F1484" s="2">
        <f t="shared" si="118"/>
        <v>0.16393729693633605</v>
      </c>
      <c r="G1484" s="2">
        <f t="shared" si="115"/>
        <v>0.16393729693633605</v>
      </c>
    </row>
    <row r="1485" spans="1:7" x14ac:dyDescent="0.25">
      <c r="A1485" s="18">
        <v>29.64</v>
      </c>
      <c r="B1485" s="2">
        <v>-4.8199999999999996E-3</v>
      </c>
      <c r="C1485" s="2">
        <f t="shared" si="116"/>
        <v>0.96399999999999997</v>
      </c>
      <c r="D1485" s="2">
        <f t="shared" si="117"/>
        <v>-4.3748957526734324E-3</v>
      </c>
      <c r="E1485" s="2">
        <f t="shared" si="119"/>
        <v>2.1535980660748744E-2</v>
      </c>
      <c r="F1485" s="2">
        <f t="shared" si="118"/>
        <v>0.13606687258020123</v>
      </c>
      <c r="G1485" s="2">
        <f t="shared" si="115"/>
        <v>0.13606687258020123</v>
      </c>
    </row>
    <row r="1486" spans="1:7" x14ac:dyDescent="0.25">
      <c r="A1486" s="18">
        <v>29.66</v>
      </c>
      <c r="B1486" s="2">
        <v>-4.7499999999999999E-3</v>
      </c>
      <c r="C1486" s="2">
        <f t="shared" si="116"/>
        <v>0.95</v>
      </c>
      <c r="D1486" s="2">
        <f t="shared" si="117"/>
        <v>-3.3934548584368678E-3</v>
      </c>
      <c r="E1486" s="2">
        <f t="shared" si="119"/>
        <v>2.3175353630112104E-2</v>
      </c>
      <c r="F1486" s="2">
        <f t="shared" si="118"/>
        <v>0.10655364575310301</v>
      </c>
      <c r="G1486" s="2">
        <f t="shared" si="115"/>
        <v>0.10655364575310301</v>
      </c>
    </row>
    <row r="1487" spans="1:7" x14ac:dyDescent="0.25">
      <c r="A1487" s="18">
        <v>29.68</v>
      </c>
      <c r="B1487" s="2">
        <v>-4.6899999999999997E-3</v>
      </c>
      <c r="C1487" s="2">
        <f t="shared" si="116"/>
        <v>0.93799999999999994</v>
      </c>
      <c r="D1487" s="2">
        <f t="shared" si="117"/>
        <v>-2.3693925058990619E-3</v>
      </c>
      <c r="E1487" s="2">
        <f t="shared" si="119"/>
        <v>2.4536022355914115E-2</v>
      </c>
      <c r="F1487" s="2">
        <f t="shared" si="118"/>
        <v>7.5771775176973033E-2</v>
      </c>
      <c r="G1487" s="2">
        <f t="shared" si="115"/>
        <v>7.5771775176973033E-2</v>
      </c>
    </row>
    <row r="1488" spans="1:7" x14ac:dyDescent="0.25">
      <c r="A1488" s="18">
        <v>29.7</v>
      </c>
      <c r="B1488" s="2">
        <v>-4.6299999999999996E-3</v>
      </c>
      <c r="C1488" s="2">
        <f t="shared" si="116"/>
        <v>0.92599999999999993</v>
      </c>
      <c r="D1488" s="2">
        <f t="shared" si="117"/>
        <v>-1.3150214432904668E-3</v>
      </c>
      <c r="E1488" s="2">
        <f t="shared" si="119"/>
        <v>2.5601558813445145E-2</v>
      </c>
      <c r="F1488" s="2">
        <f t="shared" si="118"/>
        <v>4.4080643298712731E-2</v>
      </c>
      <c r="G1488" s="2">
        <f t="shared" si="115"/>
        <v>4.4080643298712731E-2</v>
      </c>
    </row>
    <row r="1489" spans="1:7" x14ac:dyDescent="0.25">
      <c r="A1489" s="18">
        <v>29.72</v>
      </c>
      <c r="B1489" s="2">
        <v>-4.5599999999999998E-3</v>
      </c>
      <c r="C1489" s="2">
        <f t="shared" si="116"/>
        <v>0.91199999999999992</v>
      </c>
      <c r="D1489" s="2">
        <f t="shared" si="117"/>
        <v>-2.4301812336238664E-4</v>
      </c>
      <c r="E1489" s="2">
        <f t="shared" si="119"/>
        <v>2.6359276565214876E-2</v>
      </c>
      <c r="F1489" s="2">
        <f t="shared" si="118"/>
        <v>1.1850543700871369E-2</v>
      </c>
      <c r="G1489" s="2">
        <f t="shared" si="115"/>
        <v>1.1850543700871369E-2</v>
      </c>
    </row>
    <row r="1490" spans="1:7" x14ac:dyDescent="0.25">
      <c r="A1490" s="18">
        <v>29.74</v>
      </c>
      <c r="B1490" s="2">
        <v>-4.4999999999999997E-3</v>
      </c>
      <c r="C1490" s="2">
        <f t="shared" si="116"/>
        <v>0.89999999999999991</v>
      </c>
      <c r="D1490" s="2">
        <f t="shared" si="117"/>
        <v>8.3372541404604214E-4</v>
      </c>
      <c r="E1490" s="2">
        <f t="shared" si="119"/>
        <v>2.6800082998202003E-2</v>
      </c>
      <c r="F1490" s="2">
        <f t="shared" si="118"/>
        <v>-2.0511762421381637E-2</v>
      </c>
      <c r="G1490" s="2">
        <f t="shared" si="115"/>
        <v>-2.0511762421381637E-2</v>
      </c>
    </row>
    <row r="1491" spans="1:7" x14ac:dyDescent="0.25">
      <c r="A1491" s="18">
        <v>29.76</v>
      </c>
      <c r="B1491" s="2">
        <v>-4.4400000000000004E-3</v>
      </c>
      <c r="C1491" s="2">
        <f t="shared" si="116"/>
        <v>0.88800000000000012</v>
      </c>
      <c r="D1491" s="2">
        <f t="shared" si="117"/>
        <v>1.9022642464859183E-3</v>
      </c>
      <c r="E1491" s="2">
        <f t="shared" si="119"/>
        <v>2.6918588435210718E-2</v>
      </c>
      <c r="F1491" s="2">
        <f t="shared" si="118"/>
        <v>-5.2627927394577549E-2</v>
      </c>
      <c r="G1491" s="2">
        <f t="shared" si="115"/>
        <v>-5.2627927394577549E-2</v>
      </c>
    </row>
    <row r="1492" spans="1:7" x14ac:dyDescent="0.25">
      <c r="A1492" s="18">
        <v>29.78</v>
      </c>
      <c r="B1492" s="2">
        <v>-4.3699999999999998E-3</v>
      </c>
      <c r="C1492" s="2">
        <f t="shared" si="116"/>
        <v>0.874</v>
      </c>
      <c r="D1492" s="2">
        <f t="shared" si="117"/>
        <v>2.9497519079679634E-3</v>
      </c>
      <c r="E1492" s="2">
        <f t="shared" si="119"/>
        <v>2.6713470810996901E-2</v>
      </c>
      <c r="F1492" s="2">
        <f t="shared" si="118"/>
        <v>-8.4122557239038165E-2</v>
      </c>
      <c r="G1492" s="2">
        <f t="shared" si="115"/>
        <v>-8.4122557239038165E-2</v>
      </c>
    </row>
    <row r="1493" spans="1:7" x14ac:dyDescent="0.25">
      <c r="A1493" s="18">
        <v>29.8</v>
      </c>
      <c r="B1493" s="2">
        <v>-4.3099999999999996E-3</v>
      </c>
      <c r="C1493" s="2">
        <f t="shared" si="116"/>
        <v>0.86199999999999988</v>
      </c>
      <c r="D1493" s="2">
        <f t="shared" si="117"/>
        <v>3.9635905465543932E-3</v>
      </c>
      <c r="E1493" s="2">
        <f t="shared" si="119"/>
        <v>2.6187191537051128E-2</v>
      </c>
      <c r="F1493" s="2">
        <f t="shared" si="118"/>
        <v>-0.11459771639663095</v>
      </c>
      <c r="G1493" s="2">
        <f t="shared" si="115"/>
        <v>-0.11459771639663095</v>
      </c>
    </row>
    <row r="1494" spans="1:7" x14ac:dyDescent="0.25">
      <c r="A1494" s="18">
        <v>29.82</v>
      </c>
      <c r="B1494" s="2">
        <v>-4.2500000000000003E-3</v>
      </c>
      <c r="C1494" s="2">
        <f t="shared" si="116"/>
        <v>0.85000000000000009</v>
      </c>
      <c r="D1494" s="2">
        <f t="shared" si="117"/>
        <v>4.9315900985821707E-3</v>
      </c>
      <c r="E1494" s="2">
        <f t="shared" si="119"/>
        <v>2.5345965964660745E-2</v>
      </c>
      <c r="F1494" s="2">
        <f t="shared" si="118"/>
        <v>-0.14369770295746429</v>
      </c>
      <c r="G1494" s="2">
        <f t="shared" si="115"/>
        <v>-0.14369770295746429</v>
      </c>
    </row>
    <row r="1495" spans="1:7" x14ac:dyDescent="0.25">
      <c r="A1495" s="18">
        <v>29.84</v>
      </c>
      <c r="B1495" s="2">
        <v>-4.1799999999999997E-3</v>
      </c>
      <c r="C1495" s="2">
        <f t="shared" si="116"/>
        <v>0.83599999999999997</v>
      </c>
      <c r="D1495" s="2">
        <f t="shared" si="117"/>
        <v>5.8421105694269624E-3</v>
      </c>
      <c r="E1495" s="2">
        <f t="shared" si="119"/>
        <v>2.4199988800694437E-2</v>
      </c>
      <c r="F1495" s="2">
        <f t="shared" si="118"/>
        <v>-0.17108331708280688</v>
      </c>
      <c r="G1495" s="2">
        <f t="shared" si="115"/>
        <v>-0.17108331708280688</v>
      </c>
    </row>
    <row r="1496" spans="1:7" x14ac:dyDescent="0.25">
      <c r="A1496" s="18">
        <v>29.86</v>
      </c>
      <c r="B1496" s="2">
        <v>-4.1200000000000004E-3</v>
      </c>
      <c r="C1496" s="2">
        <f t="shared" si="116"/>
        <v>0.82400000000000007</v>
      </c>
      <c r="D1496" s="2">
        <f t="shared" si="117"/>
        <v>6.6841977134386313E-3</v>
      </c>
      <c r="E1496" s="2">
        <f t="shared" si="119"/>
        <v>2.2763011771119793E-2</v>
      </c>
      <c r="F1496" s="2">
        <f t="shared" si="118"/>
        <v>-0.19640593140315965</v>
      </c>
      <c r="G1496" s="2">
        <f t="shared" si="115"/>
        <v>-0.19640593140315965</v>
      </c>
    </row>
    <row r="1497" spans="1:7" x14ac:dyDescent="0.25">
      <c r="A1497" s="18">
        <v>29.88</v>
      </c>
      <c r="B1497" s="2">
        <v>-4.0600000000000002E-3</v>
      </c>
      <c r="C1497" s="2">
        <f t="shared" si="116"/>
        <v>0.81200000000000006</v>
      </c>
      <c r="D1497" s="2">
        <f t="shared" si="117"/>
        <v>7.4477224848890364E-3</v>
      </c>
      <c r="E1497" s="2">
        <f t="shared" si="119"/>
        <v>2.1052178600291724E-2</v>
      </c>
      <c r="F1497" s="2">
        <f t="shared" si="118"/>
        <v>-0.21937167454667403</v>
      </c>
      <c r="G1497" s="2">
        <f t="shared" si="115"/>
        <v>-0.21937167454667403</v>
      </c>
    </row>
    <row r="1498" spans="1:7" x14ac:dyDescent="0.25">
      <c r="A1498" s="18">
        <v>29.9</v>
      </c>
      <c r="B1498" s="2">
        <v>-3.9899999999999996E-3</v>
      </c>
      <c r="C1498" s="2">
        <f t="shared" si="116"/>
        <v>0.79799999999999993</v>
      </c>
      <c r="D1498" s="2">
        <f t="shared" si="117"/>
        <v>8.123498586520771E-3</v>
      </c>
      <c r="E1498" s="2">
        <f t="shared" si="119"/>
        <v>1.9088119286260127E-2</v>
      </c>
      <c r="F1498" s="2">
        <f t="shared" si="118"/>
        <v>-0.23971495759562542</v>
      </c>
      <c r="G1498" s="2">
        <f t="shared" si="115"/>
        <v>-0.23971495759562542</v>
      </c>
    </row>
    <row r="1499" spans="1:7" x14ac:dyDescent="0.25">
      <c r="A1499" s="18">
        <v>29.92</v>
      </c>
      <c r="B1499" s="2">
        <v>-3.9300000000000003E-3</v>
      </c>
      <c r="C1499" s="2">
        <f t="shared" si="116"/>
        <v>0.78600000000000003</v>
      </c>
      <c r="D1499" s="2">
        <f t="shared" si="117"/>
        <v>8.7033887051142563E-3</v>
      </c>
      <c r="E1499" s="2">
        <f t="shared" si="119"/>
        <v>1.6894402540793364E-2</v>
      </c>
      <c r="F1499" s="2">
        <f t="shared" si="118"/>
        <v>-0.25717166115343021</v>
      </c>
      <c r="G1499" s="2">
        <f t="shared" si="115"/>
        <v>-0.25717166115343021</v>
      </c>
    </row>
    <row r="1500" spans="1:7" x14ac:dyDescent="0.25">
      <c r="A1500" s="18">
        <v>29.94</v>
      </c>
      <c r="B1500" s="2">
        <v>-3.8700000000000002E-3</v>
      </c>
      <c r="C1500" s="2">
        <f t="shared" si="116"/>
        <v>0.77400000000000002</v>
      </c>
      <c r="D1500" s="2">
        <f t="shared" si="117"/>
        <v>9.1804101592463695E-3</v>
      </c>
      <c r="E1500" s="2">
        <f t="shared" si="119"/>
        <v>1.4497252964837132E-2</v>
      </c>
      <c r="F1500" s="2">
        <f t="shared" si="118"/>
        <v>-0.27154230477739044</v>
      </c>
      <c r="G1500" s="2">
        <f t="shared" si="115"/>
        <v>-0.27154230477739044</v>
      </c>
    </row>
    <row r="1501" spans="1:7" x14ac:dyDescent="0.25">
      <c r="A1501" s="18">
        <v>29.96</v>
      </c>
      <c r="B1501" s="2">
        <v>-3.8E-3</v>
      </c>
      <c r="C1501" s="2">
        <f t="shared" si="116"/>
        <v>0.76</v>
      </c>
      <c r="D1501" s="2">
        <f t="shared" si="117"/>
        <v>9.5488146914675266E-3</v>
      </c>
      <c r="E1501" s="2">
        <f t="shared" si="119"/>
        <v>1.192553635330283E-2</v>
      </c>
      <c r="F1501" s="2">
        <f t="shared" si="118"/>
        <v>-0.28266444074402997</v>
      </c>
      <c r="G1501" s="2">
        <f t="shared" si="115"/>
        <v>-0.28266444074402997</v>
      </c>
    </row>
    <row r="1502" spans="1:7" x14ac:dyDescent="0.25">
      <c r="A1502" s="18">
        <v>29.98</v>
      </c>
      <c r="B1502" s="2">
        <v>-3.7399999999999998E-3</v>
      </c>
      <c r="C1502" s="2">
        <f t="shared" si="116"/>
        <v>0.748</v>
      </c>
      <c r="D1502" s="2">
        <f t="shared" si="117"/>
        <v>9.8041534473910716E-3</v>
      </c>
      <c r="E1502" s="2">
        <f t="shared" si="119"/>
        <v>9.2101133055289258E-3</v>
      </c>
      <c r="F1502" s="2">
        <f t="shared" si="118"/>
        <v>-0.29038460342173128</v>
      </c>
      <c r="G1502" s="2">
        <f t="shared" si="115"/>
        <v>-0.29038460342173128</v>
      </c>
    </row>
    <row r="1503" spans="1:7" x14ac:dyDescent="0.25">
      <c r="A1503" s="18">
        <v>30</v>
      </c>
      <c r="B1503" s="2">
        <v>-3.6800000000000001E-3</v>
      </c>
      <c r="C1503" s="2">
        <f t="shared" si="116"/>
        <v>0.73599999999999999</v>
      </c>
      <c r="D1503" s="2">
        <f t="shared" si="117"/>
        <v>9.9433383619459241E-3</v>
      </c>
      <c r="E1503" s="2">
        <f t="shared" si="119"/>
        <v>6.3834688980886258E-3</v>
      </c>
      <c r="F1503" s="2">
        <f t="shared" si="118"/>
        <v>-0.2946201508583759</v>
      </c>
      <c r="G1503" s="2">
        <f t="shared" si="115"/>
        <v>-0.2946201508583759</v>
      </c>
    </row>
    <row r="1504" spans="1:7" x14ac:dyDescent="0.25">
      <c r="A1504" s="18">
        <v>30.02</v>
      </c>
      <c r="B1504" s="2">
        <v>-3.6099999999999999E-3</v>
      </c>
      <c r="C1504" s="2">
        <f t="shared" si="116"/>
        <v>0.72199999999999998</v>
      </c>
      <c r="D1504" s="2">
        <f t="shared" si="117"/>
        <v>9.9646752161574263E-3</v>
      </c>
      <c r="E1504" s="2">
        <f t="shared" si="119"/>
        <v>3.4796228638713129E-3</v>
      </c>
      <c r="F1504" s="2">
        <f t="shared" si="118"/>
        <v>-0.2953302564847205</v>
      </c>
      <c r="G1504" s="2">
        <f t="shared" si="115"/>
        <v>-0.2953302564847205</v>
      </c>
    </row>
    <row r="1505" spans="1:7" x14ac:dyDescent="0.25">
      <c r="A1505" s="18">
        <v>30.04</v>
      </c>
      <c r="B1505" s="2">
        <v>-3.5500000000000002E-3</v>
      </c>
      <c r="C1505" s="2">
        <f t="shared" si="116"/>
        <v>0.71000000000000008</v>
      </c>
      <c r="D1505" s="2">
        <f t="shared" si="117"/>
        <v>9.8678799677750402E-3</v>
      </c>
      <c r="E1505" s="2">
        <f t="shared" si="119"/>
        <v>5.3342135528755379E-4</v>
      </c>
      <c r="F1505" s="2">
        <f t="shared" si="118"/>
        <v>-0.29248639903325152</v>
      </c>
      <c r="G1505" s="2">
        <f t="shared" si="115"/>
        <v>-0.29248639903325152</v>
      </c>
    </row>
    <row r="1506" spans="1:7" x14ac:dyDescent="0.25">
      <c r="A1506" s="18">
        <v>30.06</v>
      </c>
      <c r="B1506" s="2">
        <v>-3.49E-3</v>
      </c>
      <c r="C1506" s="2">
        <f t="shared" si="116"/>
        <v>0.69799999999999995</v>
      </c>
      <c r="D1506" s="2">
        <f t="shared" si="117"/>
        <v>9.6540901597793535E-3</v>
      </c>
      <c r="E1506" s="2">
        <f t="shared" si="119"/>
        <v>-2.4198812095596513E-3</v>
      </c>
      <c r="F1506" s="2">
        <f t="shared" si="118"/>
        <v>-0.28613270479337527</v>
      </c>
      <c r="G1506" s="2">
        <f t="shared" si="115"/>
        <v>-0.28613270479337527</v>
      </c>
    </row>
    <row r="1507" spans="1:7" x14ac:dyDescent="0.25">
      <c r="A1507" s="18">
        <v>30.08</v>
      </c>
      <c r="B1507" s="2">
        <v>-3.4199999999999999E-3</v>
      </c>
      <c r="C1507" s="2">
        <f t="shared" si="116"/>
        <v>0.68399999999999994</v>
      </c>
      <c r="D1507" s="2">
        <f t="shared" si="117"/>
        <v>9.3258472698663167E-3</v>
      </c>
      <c r="E1507" s="2">
        <f t="shared" si="119"/>
        <v>-5.3447451998921668E-3</v>
      </c>
      <c r="F1507" s="2">
        <f t="shared" si="118"/>
        <v>-0.27635541809598735</v>
      </c>
      <c r="G1507" s="2">
        <f t="shared" si="115"/>
        <v>-0.27635541809598735</v>
      </c>
    </row>
    <row r="1508" spans="1:7" x14ac:dyDescent="0.25">
      <c r="A1508" s="18">
        <v>30.1</v>
      </c>
      <c r="B1508" s="2">
        <v>-3.3600000000000001E-3</v>
      </c>
      <c r="C1508" s="2">
        <f t="shared" si="116"/>
        <v>0.67200000000000004</v>
      </c>
      <c r="D1508" s="2">
        <f t="shared" si="117"/>
        <v>8.887062212714885E-3</v>
      </c>
      <c r="E1508" s="2">
        <f t="shared" si="119"/>
        <v>-8.2060722478259195E-3</v>
      </c>
      <c r="F1508" s="2">
        <f t="shared" si="118"/>
        <v>-0.26325186638144393</v>
      </c>
      <c r="G1508" s="2">
        <f t="shared" si="115"/>
        <v>-0.26325186638144393</v>
      </c>
    </row>
    <row r="1509" spans="1:7" x14ac:dyDescent="0.25">
      <c r="A1509" s="18">
        <v>30.12</v>
      </c>
      <c r="B1509" s="2">
        <v>-3.3E-3</v>
      </c>
      <c r="C1509" s="2">
        <f t="shared" si="116"/>
        <v>0.66</v>
      </c>
      <c r="D1509" s="2">
        <f t="shared" si="117"/>
        <v>8.3429764090108757E-3</v>
      </c>
      <c r="E1509" s="2">
        <f t="shared" si="119"/>
        <v>-1.0969626428785793E-2</v>
      </c>
      <c r="F1509" s="2">
        <f t="shared" si="118"/>
        <v>-0.24698929227032423</v>
      </c>
      <c r="G1509" s="2">
        <f t="shared" si="115"/>
        <v>-0.24698929227032423</v>
      </c>
    </row>
    <row r="1510" spans="1:7" x14ac:dyDescent="0.25">
      <c r="A1510" s="18">
        <v>30.14</v>
      </c>
      <c r="B1510" s="2">
        <v>-3.2299999999999998E-3</v>
      </c>
      <c r="C1510" s="2">
        <f t="shared" si="116"/>
        <v>0.64599999999999991</v>
      </c>
      <c r="D1510" s="2">
        <f t="shared" si="117"/>
        <v>7.7000948883987367E-3</v>
      </c>
      <c r="E1510" s="2">
        <f t="shared" si="119"/>
        <v>-1.3602145092600233E-2</v>
      </c>
      <c r="F1510" s="2">
        <f t="shared" si="118"/>
        <v>-0.22777284665196662</v>
      </c>
      <c r="G1510" s="2">
        <f t="shared" si="115"/>
        <v>-0.22777284665196662</v>
      </c>
    </row>
    <row r="1511" spans="1:7" x14ac:dyDescent="0.25">
      <c r="A1511" s="18">
        <v>30.16</v>
      </c>
      <c r="B1511" s="2">
        <v>-3.1700000000000001E-3</v>
      </c>
      <c r="C1511" s="2">
        <f t="shared" si="116"/>
        <v>0.63400000000000001</v>
      </c>
      <c r="D1511" s="2">
        <f t="shared" si="117"/>
        <v>6.9661042291258111E-3</v>
      </c>
      <c r="E1511" s="2">
        <f t="shared" si="119"/>
        <v>-1.6072038015303474E-2</v>
      </c>
      <c r="F1511" s="2">
        <f t="shared" si="118"/>
        <v>-0.20581312687377276</v>
      </c>
      <c r="G1511" s="2">
        <f t="shared" si="115"/>
        <v>-0.20581312687377276</v>
      </c>
    </row>
    <row r="1512" spans="1:7" x14ac:dyDescent="0.25">
      <c r="A1512" s="18">
        <v>30.18</v>
      </c>
      <c r="B1512" s="2">
        <v>-3.1099999999999999E-3</v>
      </c>
      <c r="C1512" s="2">
        <f t="shared" si="116"/>
        <v>0.622</v>
      </c>
      <c r="D1512" s="2">
        <f t="shared" si="117"/>
        <v>6.1497883191033763E-3</v>
      </c>
      <c r="E1512" s="2">
        <f t="shared" si="119"/>
        <v>-1.834976648182314E-2</v>
      </c>
      <c r="F1512" s="2">
        <f t="shared" si="118"/>
        <v>-0.18138364957310041</v>
      </c>
      <c r="G1512" s="2">
        <f t="shared" si="115"/>
        <v>-0.18138364957310041</v>
      </c>
    </row>
    <row r="1513" spans="1:7" x14ac:dyDescent="0.25">
      <c r="A1513" s="18">
        <v>30.2</v>
      </c>
      <c r="B1513" s="2">
        <v>-3.0400000000000002E-3</v>
      </c>
      <c r="C1513" s="2">
        <f t="shared" si="116"/>
        <v>0.60799999999999998</v>
      </c>
      <c r="D1513" s="2">
        <f t="shared" si="117"/>
        <v>5.2609189492517014E-3</v>
      </c>
      <c r="E1513" s="2">
        <f t="shared" si="119"/>
        <v>-2.0407897750560868E-2</v>
      </c>
      <c r="F1513" s="2">
        <f t="shared" si="118"/>
        <v>-0.15478756847754799</v>
      </c>
      <c r="G1513" s="2">
        <f t="shared" si="115"/>
        <v>-0.15478756847754799</v>
      </c>
    </row>
    <row r="1514" spans="1:7" x14ac:dyDescent="0.25">
      <c r="A1514" s="18">
        <v>30.22</v>
      </c>
      <c r="B1514" s="2">
        <v>-2.98E-3</v>
      </c>
      <c r="C1514" s="2">
        <f t="shared" si="116"/>
        <v>0.59599999999999997</v>
      </c>
      <c r="D1514" s="2">
        <f t="shared" si="117"/>
        <v>4.3101345520090073E-3</v>
      </c>
      <c r="E1514" s="2">
        <f t="shared" si="119"/>
        <v>-2.2221734246291872E-2</v>
      </c>
      <c r="F1514" s="2">
        <f t="shared" si="118"/>
        <v>-0.12632403656027383</v>
      </c>
      <c r="G1514" s="2">
        <f t="shared" si="115"/>
        <v>-0.12632403656027383</v>
      </c>
    </row>
    <row r="1515" spans="1:7" x14ac:dyDescent="0.25">
      <c r="A1515" s="18">
        <v>30.24</v>
      </c>
      <c r="B1515" s="2">
        <v>-2.9199999999999999E-3</v>
      </c>
      <c r="C1515" s="2">
        <f t="shared" si="116"/>
        <v>0.58399999999999996</v>
      </c>
      <c r="D1515" s="2">
        <f t="shared" si="117"/>
        <v>3.3088205401422036E-3</v>
      </c>
      <c r="E1515" s="2">
        <f t="shared" si="119"/>
        <v>-2.3769609931067352E-2</v>
      </c>
      <c r="F1515" s="2">
        <f t="shared" si="118"/>
        <v>-9.6344616204265723E-2</v>
      </c>
      <c r="G1515" s="2">
        <f t="shared" si="115"/>
        <v>-9.6344616204265723E-2</v>
      </c>
    </row>
    <row r="1516" spans="1:7" x14ac:dyDescent="0.25">
      <c r="A1516" s="18">
        <v>30.26</v>
      </c>
      <c r="B1516" s="2">
        <v>-2.8500000000000001E-3</v>
      </c>
      <c r="C1516" s="2">
        <f t="shared" si="116"/>
        <v>0.57000000000000006</v>
      </c>
      <c r="D1516" s="2">
        <f t="shared" si="117"/>
        <v>2.2689686817936937E-3</v>
      </c>
      <c r="E1516" s="2">
        <f t="shared" si="119"/>
        <v>-2.503285029667009E-2</v>
      </c>
      <c r="F1516" s="2">
        <f t="shared" si="118"/>
        <v>-6.5219060453810832E-2</v>
      </c>
      <c r="G1516" s="2">
        <f t="shared" si="115"/>
        <v>-6.5219060453810832E-2</v>
      </c>
    </row>
    <row r="1517" spans="1:7" x14ac:dyDescent="0.25">
      <c r="A1517" s="18">
        <v>30.28</v>
      </c>
      <c r="B1517" s="2">
        <v>-2.7899999999999999E-3</v>
      </c>
      <c r="C1517" s="2">
        <f t="shared" si="116"/>
        <v>0.55799999999999994</v>
      </c>
      <c r="D1517" s="2">
        <f t="shared" si="117"/>
        <v>1.2030291992636594E-3</v>
      </c>
      <c r="E1517" s="2">
        <f t="shared" si="119"/>
        <v>-2.5996296458712747E-2</v>
      </c>
      <c r="F1517" s="2">
        <f t="shared" si="118"/>
        <v>-3.3300875977909969E-2</v>
      </c>
      <c r="G1517" s="2">
        <f t="shared" si="115"/>
        <v>-3.3300875977909969E-2</v>
      </c>
    </row>
    <row r="1518" spans="1:7" x14ac:dyDescent="0.25">
      <c r="A1518" s="18">
        <v>30.3</v>
      </c>
      <c r="B1518" s="2">
        <v>-2.7299999999999998E-3</v>
      </c>
      <c r="C1518" s="2">
        <f t="shared" si="116"/>
        <v>0.54599999999999993</v>
      </c>
      <c r="D1518" s="2">
        <f t="shared" si="117"/>
        <v>1.2376936634246111E-4</v>
      </c>
      <c r="E1518" s="2">
        <f t="shared" si="119"/>
        <v>-2.6648487063250858E-2</v>
      </c>
      <c r="F1518" s="2">
        <f t="shared" si="118"/>
        <v>-9.8308099027381423E-4</v>
      </c>
      <c r="G1518" s="2">
        <f t="shared" si="115"/>
        <v>-9.8308099027381423E-4</v>
      </c>
    </row>
    <row r="1519" spans="1:7" x14ac:dyDescent="0.25">
      <c r="A1519" s="18">
        <v>30.32</v>
      </c>
      <c r="B1519" s="2">
        <v>-2.66E-3</v>
      </c>
      <c r="C1519" s="2">
        <f t="shared" si="116"/>
        <v>0.53200000000000003</v>
      </c>
      <c r="D1519" s="2">
        <f t="shared" si="117"/>
        <v>-9.5588369897484668E-4</v>
      </c>
      <c r="E1519" s="2">
        <f t="shared" si="119"/>
        <v>-2.6981495823029958E-2</v>
      </c>
      <c r="F1519" s="2">
        <f t="shared" si="118"/>
        <v>3.1336510969245293E-2</v>
      </c>
      <c r="G1519" s="2">
        <f t="shared" si="115"/>
        <v>3.1336510969245293E-2</v>
      </c>
    </row>
    <row r="1520" spans="1:7" x14ac:dyDescent="0.25">
      <c r="A1520" s="18">
        <v>30.34</v>
      </c>
      <c r="B1520" s="2">
        <v>-2.5999999999999999E-3</v>
      </c>
      <c r="C1520" s="2">
        <f t="shared" si="116"/>
        <v>0.52</v>
      </c>
      <c r="D1520" s="2">
        <f t="shared" si="117"/>
        <v>-2.0230021599044563E-3</v>
      </c>
      <c r="E1520" s="2">
        <f t="shared" si="119"/>
        <v>-2.6991326632932695E-2</v>
      </c>
      <c r="F1520" s="2">
        <f t="shared" si="118"/>
        <v>6.3290064797133713E-2</v>
      </c>
      <c r="G1520" s="2">
        <f t="shared" si="115"/>
        <v>6.3290064797133713E-2</v>
      </c>
    </row>
    <row r="1521" spans="1:7" x14ac:dyDescent="0.25">
      <c r="A1521" s="18">
        <v>30.36</v>
      </c>
      <c r="B1521" s="2">
        <v>-2.5400000000000002E-3</v>
      </c>
      <c r="C1521" s="2">
        <f t="shared" si="116"/>
        <v>0.50800000000000001</v>
      </c>
      <c r="D1521" s="2">
        <f t="shared" si="117"/>
        <v>-3.0648045949152125E-3</v>
      </c>
      <c r="E1521" s="2">
        <f t="shared" si="119"/>
        <v>-2.6677961523240243E-2</v>
      </c>
      <c r="F1521" s="2">
        <f t="shared" si="118"/>
        <v>9.4484137847456254E-2</v>
      </c>
      <c r="G1521" s="2">
        <f t="shared" si="115"/>
        <v>9.4484137847456254E-2</v>
      </c>
    </row>
    <row r="1522" spans="1:7" x14ac:dyDescent="0.25">
      <c r="A1522" s="18">
        <v>30.38</v>
      </c>
      <c r="B1522" s="2">
        <v>-2.47E-3</v>
      </c>
      <c r="C1522" s="2">
        <f t="shared" si="116"/>
        <v>0.49399999999999999</v>
      </c>
      <c r="D1522" s="2">
        <f t="shared" si="117"/>
        <v>-4.0688133747869863E-3</v>
      </c>
      <c r="E1522" s="2">
        <f t="shared" si="119"/>
        <v>-2.6045060875268904E-2</v>
      </c>
      <c r="F1522" s="2">
        <f t="shared" si="118"/>
        <v>0.12453440124361161</v>
      </c>
      <c r="G1522" s="2">
        <f t="shared" si="115"/>
        <v>0.12453440124361161</v>
      </c>
    </row>
    <row r="1523" spans="1:7" x14ac:dyDescent="0.25">
      <c r="A1523" s="18">
        <v>30.4</v>
      </c>
      <c r="B1523" s="2">
        <v>-2.4099999999999998E-3</v>
      </c>
      <c r="C1523" s="2">
        <f t="shared" si="116"/>
        <v>0.48199999999999998</v>
      </c>
      <c r="D1523" s="2">
        <f t="shared" si="117"/>
        <v>-5.0230083941613154E-3</v>
      </c>
      <c r="E1523" s="2">
        <f t="shared" si="119"/>
        <v>-2.5100219496794342E-2</v>
      </c>
      <c r="F1523" s="2">
        <f t="shared" si="118"/>
        <v>0.15310025182483852</v>
      </c>
      <c r="G1523" s="2">
        <f t="shared" si="115"/>
        <v>0.15310025182483852</v>
      </c>
    </row>
    <row r="1524" spans="1:7" x14ac:dyDescent="0.25">
      <c r="A1524" s="18">
        <v>30.42</v>
      </c>
      <c r="B1524" s="2">
        <v>-2.3500000000000001E-3</v>
      </c>
      <c r="C1524" s="2">
        <f t="shared" si="116"/>
        <v>0.47000000000000003</v>
      </c>
      <c r="D1524" s="2">
        <f t="shared" si="117"/>
        <v>-5.9159633128057091E-3</v>
      </c>
      <c r="E1524" s="2">
        <f t="shared" si="119"/>
        <v>-2.3854875484358228E-2</v>
      </c>
      <c r="F1524" s="2">
        <f t="shared" si="118"/>
        <v>0.17982889938417382</v>
      </c>
      <c r="G1524" s="2">
        <f t="shared" si="115"/>
        <v>0.17982889938417382</v>
      </c>
    </row>
    <row r="1525" spans="1:7" x14ac:dyDescent="0.25">
      <c r="A1525" s="18">
        <v>30.44</v>
      </c>
      <c r="B1525" s="2">
        <v>-2.2799999999999999E-3</v>
      </c>
      <c r="C1525" s="2">
        <f t="shared" si="116"/>
        <v>0.45599999999999996</v>
      </c>
      <c r="D1525" s="2">
        <f t="shared" si="117"/>
        <v>-6.7369866716964332E-3</v>
      </c>
      <c r="E1525" s="2">
        <f t="shared" si="119"/>
        <v>-2.2323872966109843E-2</v>
      </c>
      <c r="F1525" s="2">
        <f t="shared" si="118"/>
        <v>0.20438960015089352</v>
      </c>
      <c r="G1525" s="2">
        <f t="shared" si="115"/>
        <v>0.20438960015089352</v>
      </c>
    </row>
    <row r="1526" spans="1:7" x14ac:dyDescent="0.25">
      <c r="A1526" s="18">
        <v>30.46</v>
      </c>
      <c r="B1526" s="2">
        <v>-2.2200000000000002E-3</v>
      </c>
      <c r="C1526" s="2">
        <f t="shared" si="116"/>
        <v>0.44400000000000006</v>
      </c>
      <c r="D1526" s="2">
        <f t="shared" si="117"/>
        <v>-7.4762541905268E-3</v>
      </c>
      <c r="E1526" s="2">
        <f t="shared" si="119"/>
        <v>-2.0525583972268103E-2</v>
      </c>
      <c r="F1526" s="2">
        <f t="shared" si="118"/>
        <v>0.22650762571580893</v>
      </c>
      <c r="G1526" s="2">
        <f t="shared" si="115"/>
        <v>0.22650762571580893</v>
      </c>
    </row>
    <row r="1527" spans="1:7" x14ac:dyDescent="0.25">
      <c r="A1527" s="18">
        <v>30.48</v>
      </c>
      <c r="B1527" s="2">
        <v>-2.16E-3</v>
      </c>
      <c r="C1527" s="2">
        <f t="shared" si="116"/>
        <v>0.432</v>
      </c>
      <c r="D1527" s="2">
        <f t="shared" si="117"/>
        <v>-8.1249186590708431E-3</v>
      </c>
      <c r="E1527" s="2">
        <f t="shared" si="119"/>
        <v>-1.8481687970759168E-2</v>
      </c>
      <c r="F1527" s="2">
        <f t="shared" si="118"/>
        <v>0.24590755977212367</v>
      </c>
      <c r="G1527" s="2">
        <f t="shared" si="115"/>
        <v>0.24590755977212367</v>
      </c>
    </row>
    <row r="1528" spans="1:7" x14ac:dyDescent="0.25">
      <c r="A1528" s="18">
        <v>30.5</v>
      </c>
      <c r="B1528" s="2">
        <v>-2.0899999999999998E-3</v>
      </c>
      <c r="C1528" s="2">
        <f t="shared" si="116"/>
        <v>0.41799999999999998</v>
      </c>
      <c r="D1528" s="2">
        <f t="shared" si="117"/>
        <v>-8.6752201037060359E-3</v>
      </c>
      <c r="E1528" s="2">
        <f t="shared" si="119"/>
        <v>-1.621661171360108E-2</v>
      </c>
      <c r="F1528" s="2">
        <f t="shared" si="118"/>
        <v>0.2623466031111783</v>
      </c>
      <c r="G1528" s="2">
        <f t="shared" si="115"/>
        <v>0.2623466031111783</v>
      </c>
    </row>
    <row r="1529" spans="1:7" x14ac:dyDescent="0.25">
      <c r="A1529" s="18">
        <v>30.52</v>
      </c>
      <c r="B1529" s="2">
        <v>-2.0300000000000001E-3</v>
      </c>
      <c r="C1529" s="2">
        <f t="shared" si="116"/>
        <v>0.40600000000000003</v>
      </c>
      <c r="D1529" s="2">
        <f t="shared" si="117"/>
        <v>-9.1205829070967574E-3</v>
      </c>
      <c r="E1529" s="2">
        <f t="shared" si="119"/>
        <v>-1.375753611587982E-2</v>
      </c>
      <c r="F1529" s="2">
        <f t="shared" si="118"/>
        <v>0.27564748721291016</v>
      </c>
      <c r="G1529" s="2">
        <f t="shared" si="115"/>
        <v>0.27564748721291016</v>
      </c>
    </row>
    <row r="1530" spans="1:7" x14ac:dyDescent="0.25">
      <c r="A1530" s="18">
        <v>30.54</v>
      </c>
      <c r="B1530" s="2">
        <v>-1.97E-3</v>
      </c>
      <c r="C1530" s="2">
        <f t="shared" si="116"/>
        <v>0.39400000000000002</v>
      </c>
      <c r="D1530" s="2">
        <f t="shared" si="117"/>
        <v>-9.4556867156023149E-3</v>
      </c>
      <c r="E1530" s="2">
        <f t="shared" si="119"/>
        <v>-1.1134070084768037E-2</v>
      </c>
      <c r="F1530" s="2">
        <f t="shared" si="118"/>
        <v>0.28564060146806824</v>
      </c>
      <c r="G1530" s="2">
        <f t="shared" si="115"/>
        <v>0.28564060146806824</v>
      </c>
    </row>
    <row r="1531" spans="1:7" x14ac:dyDescent="0.25">
      <c r="A1531" s="18">
        <v>30.56</v>
      </c>
      <c r="B1531" s="2">
        <v>-1.9E-3</v>
      </c>
      <c r="C1531" s="2">
        <f t="shared" si="116"/>
        <v>0.38</v>
      </c>
      <c r="D1531" s="2">
        <f t="shared" si="117"/>
        <v>-9.676534283520645E-3</v>
      </c>
      <c r="E1531" s="2">
        <f t="shared" si="119"/>
        <v>-8.3775952126389358E-3</v>
      </c>
      <c r="F1531" s="2">
        <f t="shared" si="118"/>
        <v>0.29219602850561605</v>
      </c>
      <c r="G1531" s="2">
        <f t="shared" si="115"/>
        <v>0.29219602850561605</v>
      </c>
    </row>
    <row r="1532" spans="1:7" x14ac:dyDescent="0.25">
      <c r="A1532" s="18">
        <v>30.58</v>
      </c>
      <c r="B1532" s="2">
        <v>-1.8400000000000001E-3</v>
      </c>
      <c r="C1532" s="2">
        <f t="shared" si="116"/>
        <v>0.36799999999999999</v>
      </c>
      <c r="D1532" s="2">
        <f t="shared" si="117"/>
        <v>-9.7805034400367287E-3</v>
      </c>
      <c r="E1532" s="2">
        <f t="shared" si="119"/>
        <v>-5.5211891979582532E-3</v>
      </c>
      <c r="F1532" s="2">
        <f t="shared" si="118"/>
        <v>0.29525510320110249</v>
      </c>
      <c r="G1532" s="2">
        <f t="shared" si="115"/>
        <v>0.29525510320110249</v>
      </c>
    </row>
    <row r="1533" spans="1:7" x14ac:dyDescent="0.25">
      <c r="A1533" s="18">
        <v>30.6</v>
      </c>
      <c r="B1533" s="2">
        <v>-1.7799999999999999E-3</v>
      </c>
      <c r="C1533" s="2">
        <f t="shared" si="116"/>
        <v>0.35599999999999998</v>
      </c>
      <c r="D1533" s="2">
        <f t="shared" si="117"/>
        <v>-9.7663705552723714E-3</v>
      </c>
      <c r="E1533" s="2">
        <f t="shared" si="119"/>
        <v>-2.5992289129020928E-3</v>
      </c>
      <c r="F1533" s="2">
        <f t="shared" si="118"/>
        <v>0.29477111665816758</v>
      </c>
      <c r="G1533" s="2">
        <f t="shared" si="115"/>
        <v>0.29477111665816758</v>
      </c>
    </row>
    <row r="1534" spans="1:7" x14ac:dyDescent="0.25">
      <c r="A1534" s="18">
        <v>30.62</v>
      </c>
      <c r="B1534" s="2">
        <v>-1.7099999999999999E-3</v>
      </c>
      <c r="C1534" s="2">
        <f t="shared" si="116"/>
        <v>0.34199999999999997</v>
      </c>
      <c r="D1534" s="2">
        <f t="shared" si="117"/>
        <v>-9.6343292238447471E-3</v>
      </c>
      <c r="E1534" s="2">
        <f t="shared" si="119"/>
        <v>3.5332211910893245E-4</v>
      </c>
      <c r="F1534" s="2">
        <f t="shared" si="118"/>
        <v>0.29073987671534518</v>
      </c>
      <c r="G1534" s="2">
        <f t="shared" si="115"/>
        <v>0.29073987671534518</v>
      </c>
    </row>
    <row r="1535" spans="1:7" x14ac:dyDescent="0.25">
      <c r="A1535" s="18">
        <v>30.64</v>
      </c>
      <c r="B1535" s="2">
        <v>-1.65E-3</v>
      </c>
      <c r="C1535" s="2">
        <f t="shared" si="116"/>
        <v>0.33</v>
      </c>
      <c r="D1535" s="2">
        <f t="shared" si="117"/>
        <v>-9.3859919417309846E-3</v>
      </c>
      <c r="E1535" s="2">
        <f t="shared" si="119"/>
        <v>3.3010332856906084E-3</v>
      </c>
      <c r="F1535" s="2">
        <f t="shared" si="118"/>
        <v>0.28322975825192681</v>
      </c>
      <c r="G1535" s="2">
        <f t="shared" si="115"/>
        <v>0.28322975825192681</v>
      </c>
    </row>
    <row r="1536" spans="1:7" x14ac:dyDescent="0.25">
      <c r="A1536" s="18">
        <v>30.66</v>
      </c>
      <c r="B1536" s="2">
        <v>-1.58E-3</v>
      </c>
      <c r="C1536" s="2">
        <f t="shared" si="116"/>
        <v>0.316</v>
      </c>
      <c r="D1536" s="2">
        <f t="shared" si="117"/>
        <v>-9.0243627563164515E-3</v>
      </c>
      <c r="E1536" s="2">
        <f t="shared" si="119"/>
        <v>6.2084320528440606E-3</v>
      </c>
      <c r="F1536" s="2">
        <f t="shared" si="118"/>
        <v>0.27231088268949832</v>
      </c>
      <c r="G1536" s="2">
        <f t="shared" si="115"/>
        <v>0.27231088268949832</v>
      </c>
    </row>
    <row r="1537" spans="1:7" x14ac:dyDescent="0.25">
      <c r="A1537" s="18">
        <v>30.68</v>
      </c>
      <c r="B1537" s="2">
        <v>-1.5200000000000001E-3</v>
      </c>
      <c r="C1537" s="2">
        <f t="shared" si="116"/>
        <v>0.30399999999999999</v>
      </c>
      <c r="D1537" s="2">
        <f t="shared" si="117"/>
        <v>-8.553809217826119E-3</v>
      </c>
      <c r="E1537" s="2">
        <f t="shared" si="119"/>
        <v>9.0407296353633287E-3</v>
      </c>
      <c r="F1537" s="2">
        <f t="shared" si="118"/>
        <v>0.25813427653478133</v>
      </c>
      <c r="G1537" s="2">
        <f t="shared" si="115"/>
        <v>0.25813427653478133</v>
      </c>
    </row>
    <row r="1538" spans="1:7" x14ac:dyDescent="0.25">
      <c r="A1538" s="18">
        <v>30.7</v>
      </c>
      <c r="B1538" s="2">
        <v>-1.4599999999999999E-3</v>
      </c>
      <c r="C1538" s="2">
        <f t="shared" si="116"/>
        <v>0.29199999999999998</v>
      </c>
      <c r="D1538" s="2">
        <f t="shared" si="117"/>
        <v>-7.980001968721874E-3</v>
      </c>
      <c r="E1538" s="2">
        <f t="shared" si="119"/>
        <v>1.1763838462258312E-2</v>
      </c>
      <c r="F1538" s="2">
        <f t="shared" si="118"/>
        <v>0.2408600590616595</v>
      </c>
      <c r="G1538" s="2">
        <f t="shared" ref="G1538:G1561" si="120">HLOOKUP($Y$3,$B$1:$F$1562,ROW(),0)</f>
        <v>0.2408600590616595</v>
      </c>
    </row>
    <row r="1539" spans="1:7" x14ac:dyDescent="0.25">
      <c r="A1539" s="18">
        <v>30.72</v>
      </c>
      <c r="B1539" s="2">
        <v>-1.39E-3</v>
      </c>
      <c r="C1539" s="2">
        <f t="shared" ref="C1539:C1562" si="121">-$M$4*B1539</f>
        <v>0.27799999999999997</v>
      </c>
      <c r="D1539" s="2">
        <f t="shared" si="117"/>
        <v>-7.3098506959929652E-3</v>
      </c>
      <c r="E1539" s="2">
        <f t="shared" si="119"/>
        <v>1.4345181227606125E-2</v>
      </c>
      <c r="F1539" s="2">
        <f t="shared" si="118"/>
        <v>0.22068552087978935</v>
      </c>
      <c r="G1539" s="2">
        <f t="shared" si="120"/>
        <v>0.22068552087978935</v>
      </c>
    </row>
    <row r="1540" spans="1:7" x14ac:dyDescent="0.25">
      <c r="A1540" s="18">
        <v>30.74</v>
      </c>
      <c r="B1540" s="2">
        <v>-1.33E-3</v>
      </c>
      <c r="C1540" s="2">
        <f t="shared" si="121"/>
        <v>0.26600000000000001</v>
      </c>
      <c r="D1540" s="2">
        <f t="shared" ref="D1540:D1563" si="122">(C1539-($Q$6*D1539)-($Q$7*D1538))/$Q$5</f>
        <v>-6.5514252149121406E-3</v>
      </c>
      <c r="E1540" s="2">
        <f t="shared" si="119"/>
        <v>1.6753781818222721E-2</v>
      </c>
      <c r="F1540" s="2">
        <f t="shared" ref="F1540:F1561" si="123">(D1539-2*D1540+D1541)/($A$4^2)</f>
        <v>0.19787275644736263</v>
      </c>
      <c r="G1540" s="2">
        <f t="shared" si="120"/>
        <v>0.19787275644736263</v>
      </c>
    </row>
    <row r="1541" spans="1:7" x14ac:dyDescent="0.25">
      <c r="A1541" s="18">
        <v>30.76</v>
      </c>
      <c r="B1541" s="2">
        <v>-1.2700000000000001E-3</v>
      </c>
      <c r="C1541" s="2">
        <f t="shared" si="121"/>
        <v>0.254</v>
      </c>
      <c r="D1541" s="2">
        <f t="shared" si="122"/>
        <v>-5.713850631252371E-3</v>
      </c>
      <c r="E1541" s="2">
        <f t="shared" ref="E1541:E1561" si="124">(D1540-D1539)/(2*$A$4)</f>
        <v>1.8960637027020614E-2</v>
      </c>
      <c r="F1541" s="2">
        <f t="shared" si="123"/>
        <v>0.17268551893757011</v>
      </c>
      <c r="G1541" s="2">
        <f t="shared" si="120"/>
        <v>0.17268551893757011</v>
      </c>
    </row>
    <row r="1542" spans="1:7" x14ac:dyDescent="0.25">
      <c r="A1542" s="18">
        <v>30.78</v>
      </c>
      <c r="B1542" s="2">
        <v>-1.1999999999999999E-3</v>
      </c>
      <c r="C1542" s="2">
        <f t="shared" si="121"/>
        <v>0.24</v>
      </c>
      <c r="D1542" s="2">
        <f t="shared" si="122"/>
        <v>-4.8072018400175734E-3</v>
      </c>
      <c r="E1542" s="2">
        <f t="shared" si="124"/>
        <v>2.0939364591494241E-2</v>
      </c>
      <c r="F1542" s="2">
        <f t="shared" si="123"/>
        <v>0.14541605520052903</v>
      </c>
      <c r="G1542" s="2">
        <f t="shared" si="120"/>
        <v>0.14541605520052903</v>
      </c>
    </row>
    <row r="1543" spans="1:7" x14ac:dyDescent="0.25">
      <c r="A1543" s="18">
        <v>30.8</v>
      </c>
      <c r="B1543" s="2">
        <v>-1.14E-3</v>
      </c>
      <c r="C1543" s="2">
        <f t="shared" si="121"/>
        <v>0.22799999999999998</v>
      </c>
      <c r="D1543" s="2">
        <f t="shared" si="122"/>
        <v>-3.8423866267025641E-3</v>
      </c>
      <c r="E1543" s="2">
        <f t="shared" si="124"/>
        <v>2.2666219780869939E-2</v>
      </c>
      <c r="F1543" s="2">
        <f t="shared" si="123"/>
        <v>0.11641159880107693</v>
      </c>
      <c r="G1543" s="2">
        <f t="shared" si="120"/>
        <v>0.11641159880107693</v>
      </c>
    </row>
    <row r="1544" spans="1:7" x14ac:dyDescent="0.25">
      <c r="A1544" s="18">
        <v>30.82</v>
      </c>
      <c r="B1544" s="2">
        <v>-1.08E-3</v>
      </c>
      <c r="C1544" s="2">
        <f t="shared" si="121"/>
        <v>0.216</v>
      </c>
      <c r="D1544" s="2">
        <f t="shared" si="122"/>
        <v>-2.8310067738671241E-3</v>
      </c>
      <c r="E1544" s="2">
        <f t="shared" si="124"/>
        <v>2.4120380332875231E-2</v>
      </c>
      <c r="F1544" s="2">
        <f t="shared" si="123"/>
        <v>8.601020321601234E-2</v>
      </c>
      <c r="G1544" s="2">
        <f t="shared" si="120"/>
        <v>8.601020321601234E-2</v>
      </c>
    </row>
    <row r="1545" spans="1:7" x14ac:dyDescent="0.25">
      <c r="A1545" s="18">
        <v>30.84</v>
      </c>
      <c r="B1545" s="2">
        <v>-1.01E-3</v>
      </c>
      <c r="C1545" s="2">
        <f t="shared" si="121"/>
        <v>0.20200000000000001</v>
      </c>
      <c r="D1545" s="2">
        <f t="shared" si="122"/>
        <v>-1.7852228397452791E-3</v>
      </c>
      <c r="E1545" s="2">
        <f t="shared" si="124"/>
        <v>2.5284496320886002E-2</v>
      </c>
      <c r="F1545" s="2">
        <f t="shared" si="123"/>
        <v>5.4566685192358015E-2</v>
      </c>
      <c r="G1545" s="2">
        <f t="shared" si="120"/>
        <v>5.4566685192358015E-2</v>
      </c>
    </row>
    <row r="1546" spans="1:7" x14ac:dyDescent="0.25">
      <c r="A1546" s="18">
        <v>30.86</v>
      </c>
      <c r="B1546" s="2">
        <v>-9.5E-4</v>
      </c>
      <c r="C1546" s="2">
        <f t="shared" si="121"/>
        <v>0.19</v>
      </c>
      <c r="D1546" s="2">
        <f t="shared" si="122"/>
        <v>-7.1761223154649092E-4</v>
      </c>
      <c r="E1546" s="2">
        <f t="shared" si="124"/>
        <v>2.6144598353046125E-2</v>
      </c>
      <c r="F1546" s="2">
        <f t="shared" si="123"/>
        <v>2.2478366946395101E-2</v>
      </c>
      <c r="G1546" s="2">
        <f t="shared" si="120"/>
        <v>2.2478366946395101E-2</v>
      </c>
    </row>
    <row r="1547" spans="1:7" x14ac:dyDescent="0.25">
      <c r="A1547" s="18">
        <v>30.88</v>
      </c>
      <c r="B1547" s="2">
        <v>-8.8999999999999995E-4</v>
      </c>
      <c r="C1547" s="2">
        <f t="shared" si="121"/>
        <v>0.17799999999999999</v>
      </c>
      <c r="D1547" s="2">
        <f t="shared" si="122"/>
        <v>3.589897234308553E-4</v>
      </c>
      <c r="E1547" s="2">
        <f t="shared" si="124"/>
        <v>2.6690265204969706E-2</v>
      </c>
      <c r="F1547" s="2">
        <f t="shared" si="123"/>
        <v>-9.879691702925587E-3</v>
      </c>
      <c r="G1547" s="2">
        <f t="shared" si="120"/>
        <v>-9.879691702925587E-3</v>
      </c>
    </row>
    <row r="1548" spans="1:7" x14ac:dyDescent="0.25">
      <c r="A1548" s="18">
        <v>30.9</v>
      </c>
      <c r="B1548" s="2">
        <v>-8.1999999999999998E-4</v>
      </c>
      <c r="C1548" s="2">
        <f t="shared" si="121"/>
        <v>0.16400000000000001</v>
      </c>
      <c r="D1548" s="2">
        <f t="shared" si="122"/>
        <v>1.4316398017270313E-3</v>
      </c>
      <c r="E1548" s="2">
        <f t="shared" si="124"/>
        <v>2.6915048874433658E-2</v>
      </c>
      <c r="F1548" s="2">
        <f t="shared" si="123"/>
        <v>-4.2129194051811848E-2</v>
      </c>
      <c r="G1548" s="2">
        <f t="shared" si="120"/>
        <v>-4.2129194051811848E-2</v>
      </c>
    </row>
    <row r="1549" spans="1:7" x14ac:dyDescent="0.25">
      <c r="A1549" s="18">
        <v>30.92</v>
      </c>
      <c r="B1549" s="2">
        <v>-7.6000000000000004E-4</v>
      </c>
      <c r="C1549" s="2">
        <f t="shared" si="121"/>
        <v>0.152</v>
      </c>
      <c r="D1549" s="2">
        <f t="shared" si="122"/>
        <v>2.4874382024024826E-3</v>
      </c>
      <c r="E1549" s="2">
        <f t="shared" si="124"/>
        <v>2.6816251957404402E-2</v>
      </c>
      <c r="F1549" s="2">
        <f t="shared" si="123"/>
        <v>-7.3863146072073241E-2</v>
      </c>
      <c r="G1549" s="2">
        <f t="shared" si="120"/>
        <v>-7.3863146072073241E-2</v>
      </c>
    </row>
    <row r="1550" spans="1:7" x14ac:dyDescent="0.25">
      <c r="A1550" s="18">
        <v>30.94</v>
      </c>
      <c r="B1550" s="2">
        <v>-6.9999999999999999E-4</v>
      </c>
      <c r="C1550" s="2">
        <f t="shared" si="121"/>
        <v>0.13999999999999999</v>
      </c>
      <c r="D1550" s="2">
        <f t="shared" si="122"/>
        <v>3.5136913446491046E-3</v>
      </c>
      <c r="E1550" s="2">
        <f t="shared" si="124"/>
        <v>2.6394960016886283E-2</v>
      </c>
      <c r="F1550" s="2">
        <f t="shared" si="123"/>
        <v>-0.10471074033947336</v>
      </c>
      <c r="G1550" s="2">
        <f t="shared" si="120"/>
        <v>-0.10471074033947336</v>
      </c>
    </row>
    <row r="1551" spans="1:7" x14ac:dyDescent="0.25">
      <c r="A1551" s="18">
        <v>30.96</v>
      </c>
      <c r="B1551" s="2">
        <v>-6.3000000000000003E-4</v>
      </c>
      <c r="C1551" s="2">
        <f t="shared" si="121"/>
        <v>0.126</v>
      </c>
      <c r="D1551" s="2">
        <f t="shared" si="122"/>
        <v>4.4980601907599373E-3</v>
      </c>
      <c r="E1551" s="2">
        <f t="shared" si="124"/>
        <v>2.565632855616555E-2</v>
      </c>
      <c r="F1551" s="2">
        <f t="shared" si="123"/>
        <v>-0.1343118057227973</v>
      </c>
      <c r="G1551" s="2">
        <f t="shared" si="120"/>
        <v>-0.1343118057227973</v>
      </c>
    </row>
    <row r="1552" spans="1:7" x14ac:dyDescent="0.25">
      <c r="A1552" s="18">
        <v>30.98</v>
      </c>
      <c r="B1552" s="2">
        <v>-5.6999999999999998E-4</v>
      </c>
      <c r="C1552" s="2">
        <f t="shared" si="121"/>
        <v>0.11399999999999999</v>
      </c>
      <c r="D1552" s="2">
        <f t="shared" si="122"/>
        <v>5.428704314581651E-3</v>
      </c>
      <c r="E1552" s="2">
        <f t="shared" si="124"/>
        <v>2.4609221152770817E-2</v>
      </c>
      <c r="F1552" s="2">
        <f t="shared" si="123"/>
        <v>-0.16229112943745266</v>
      </c>
      <c r="G1552" s="2">
        <f t="shared" si="120"/>
        <v>-0.16229112943745266</v>
      </c>
    </row>
    <row r="1553" spans="1:7" x14ac:dyDescent="0.25">
      <c r="A1553" s="18">
        <v>31</v>
      </c>
      <c r="B1553" s="2">
        <v>-5.1000000000000004E-4</v>
      </c>
      <c r="C1553" s="2">
        <f t="shared" si="121"/>
        <v>0.10200000000000001</v>
      </c>
      <c r="D1553" s="2">
        <f t="shared" si="122"/>
        <v>6.2944319866283837E-3</v>
      </c>
      <c r="E1553" s="2">
        <f t="shared" si="124"/>
        <v>2.3266103095542844E-2</v>
      </c>
      <c r="F1553" s="2">
        <f t="shared" si="123"/>
        <v>-0.18832295959885165</v>
      </c>
      <c r="G1553" s="2">
        <f t="shared" si="120"/>
        <v>-0.18832295959885165</v>
      </c>
    </row>
    <row r="1554" spans="1:7" x14ac:dyDescent="0.25">
      <c r="A1554" s="18">
        <v>31.02</v>
      </c>
      <c r="B1554" s="2">
        <v>-4.4000000000000002E-4</v>
      </c>
      <c r="C1554" s="2">
        <f t="shared" si="121"/>
        <v>8.8000000000000009E-2</v>
      </c>
      <c r="D1554" s="2">
        <f t="shared" si="122"/>
        <v>7.0848304748355757E-3</v>
      </c>
      <c r="E1554" s="2">
        <f t="shared" si="124"/>
        <v>2.1643191801168315E-2</v>
      </c>
      <c r="F1554" s="2">
        <f t="shared" si="123"/>
        <v>-0.21210491424507227</v>
      </c>
      <c r="G1554" s="2">
        <f t="shared" si="120"/>
        <v>-0.21210491424507227</v>
      </c>
    </row>
    <row r="1555" spans="1:7" x14ac:dyDescent="0.25">
      <c r="A1555" s="18">
        <v>31.04</v>
      </c>
      <c r="B1555" s="2">
        <v>-3.8000000000000002E-4</v>
      </c>
      <c r="C1555" s="2">
        <f t="shared" si="121"/>
        <v>7.5999999999999998E-2</v>
      </c>
      <c r="D1555" s="2">
        <f t="shared" si="122"/>
        <v>7.7903869973447396E-3</v>
      </c>
      <c r="E1555" s="2">
        <f t="shared" si="124"/>
        <v>1.9759962205179799E-2</v>
      </c>
      <c r="F1555" s="2">
        <f t="shared" si="123"/>
        <v>-0.23333160992034321</v>
      </c>
      <c r="G1555" s="2">
        <f t="shared" si="120"/>
        <v>-0.23333160992034321</v>
      </c>
    </row>
    <row r="1556" spans="1:7" x14ac:dyDescent="0.25">
      <c r="A1556" s="18">
        <v>31.06</v>
      </c>
      <c r="B1556" s="2">
        <v>-3.2000000000000003E-4</v>
      </c>
      <c r="C1556" s="2">
        <f t="shared" si="121"/>
        <v>6.4000000000000001E-2</v>
      </c>
      <c r="D1556" s="2">
        <f t="shared" si="122"/>
        <v>8.4026108758857663E-3</v>
      </c>
      <c r="E1556" s="2">
        <f t="shared" si="124"/>
        <v>1.7638913062729099E-2</v>
      </c>
      <c r="F1556" s="2">
        <f t="shared" si="123"/>
        <v>-0.25175832627657035</v>
      </c>
      <c r="G1556" s="2">
        <f t="shared" si="120"/>
        <v>-0.25175832627657035</v>
      </c>
    </row>
    <row r="1557" spans="1:7" x14ac:dyDescent="0.25">
      <c r="A1557" s="18">
        <v>31.08</v>
      </c>
      <c r="B1557" s="2">
        <v>-2.5000000000000001E-4</v>
      </c>
      <c r="C1557" s="2">
        <f t="shared" si="121"/>
        <v>0.05</v>
      </c>
      <c r="D1557" s="2">
        <f t="shared" si="122"/>
        <v>8.9141314239161648E-3</v>
      </c>
      <c r="E1557" s="2">
        <f t="shared" si="124"/>
        <v>1.5305596963525667E-2</v>
      </c>
      <c r="F1557" s="2">
        <f t="shared" si="123"/>
        <v>-0.26717394271748818</v>
      </c>
      <c r="G1557" s="2">
        <f t="shared" si="120"/>
        <v>-0.26717394271748818</v>
      </c>
    </row>
    <row r="1558" spans="1:7" x14ac:dyDescent="0.25">
      <c r="A1558" s="18">
        <v>31.1</v>
      </c>
      <c r="B1558" s="2">
        <v>-1.9000000000000001E-4</v>
      </c>
      <c r="C1558" s="2">
        <f t="shared" si="121"/>
        <v>3.7999999999999999E-2</v>
      </c>
      <c r="D1558" s="2">
        <f t="shared" si="122"/>
        <v>9.3187823948595681E-3</v>
      </c>
      <c r="E1558" s="2">
        <f t="shared" si="124"/>
        <v>1.2788013700759963E-2</v>
      </c>
      <c r="F1558" s="2">
        <f t="shared" si="123"/>
        <v>-0.27937347184578409</v>
      </c>
      <c r="G1558" s="2">
        <f t="shared" si="120"/>
        <v>-0.27937347184578409</v>
      </c>
    </row>
    <row r="1559" spans="1:7" x14ac:dyDescent="0.25">
      <c r="A1559" s="18">
        <v>31.12</v>
      </c>
      <c r="B1559" s="2">
        <v>-1.2999999999999999E-4</v>
      </c>
      <c r="C1559" s="2">
        <f t="shared" si="121"/>
        <v>2.5999999999999999E-2</v>
      </c>
      <c r="D1559" s="2">
        <f t="shared" si="122"/>
        <v>9.6116839770646577E-3</v>
      </c>
      <c r="E1559" s="2">
        <f t="shared" si="124"/>
        <v>1.0116274273585081E-2</v>
      </c>
      <c r="F1559" s="2">
        <f t="shared" si="123"/>
        <v>-0.28822051931194115</v>
      </c>
      <c r="G1559" s="2">
        <f t="shared" si="120"/>
        <v>-0.28822051931194115</v>
      </c>
    </row>
    <row r="1560" spans="1:7" x14ac:dyDescent="0.25">
      <c r="A1560" s="18">
        <v>31.14</v>
      </c>
      <c r="B1560" s="2">
        <v>-6.0000000000000002E-5</v>
      </c>
      <c r="C1560" s="2">
        <f t="shared" si="121"/>
        <v>1.2E-2</v>
      </c>
      <c r="D1560" s="2">
        <f t="shared" si="122"/>
        <v>9.7892973515449708E-3</v>
      </c>
      <c r="E1560" s="2">
        <f t="shared" si="124"/>
        <v>7.3225395551272405E-3</v>
      </c>
      <c r="F1560" s="2">
        <f t="shared" si="123"/>
        <v>-0.2936189205463447</v>
      </c>
      <c r="G1560" s="2">
        <f t="shared" si="120"/>
        <v>-0.2936189205463447</v>
      </c>
    </row>
    <row r="1561" spans="1:7" x14ac:dyDescent="0.25">
      <c r="A1561" s="18">
        <v>31.16</v>
      </c>
      <c r="B1561" s="2">
        <v>0</v>
      </c>
      <c r="C1561" s="2">
        <f t="shared" si="121"/>
        <v>0</v>
      </c>
      <c r="D1561" s="2">
        <f t="shared" si="122"/>
        <v>9.8494631578067461E-3</v>
      </c>
      <c r="E1561" s="2">
        <f t="shared" si="124"/>
        <v>4.4403343620078289E-3</v>
      </c>
      <c r="F1561" s="2">
        <f t="shared" si="123"/>
        <v>-0.29548389473419995</v>
      </c>
      <c r="G1561" s="2">
        <f t="shared" si="120"/>
        <v>-0.29548389473419995</v>
      </c>
    </row>
    <row r="1562" spans="1:7" x14ac:dyDescent="0.25">
      <c r="A1562" s="18">
        <v>31.18</v>
      </c>
      <c r="B1562" s="2">
        <v>0</v>
      </c>
      <c r="C1562" s="2">
        <f t="shared" si="121"/>
        <v>0</v>
      </c>
      <c r="D1562" s="2">
        <f t="shared" si="122"/>
        <v>9.7914354061748414E-3</v>
      </c>
      <c r="E1562" s="2">
        <f>(D1561-D1560)/(2*$A$4)</f>
        <v>1.5041451565443818E-3</v>
      </c>
      <c r="F1562" s="2">
        <f>(D1561-2*D1562+D1563)/($A$4^2)</f>
        <v>-0.29374306218524476</v>
      </c>
      <c r="G1562" s="2">
        <f>HLOOKUP($Y$3,$B$1:$F$1562,ROW(),0)</f>
        <v>-0.29374306218524476</v>
      </c>
    </row>
    <row r="1563" spans="1:7" x14ac:dyDescent="0.25">
      <c r="D1563" s="2">
        <f t="shared" si="122"/>
        <v>9.6159104296688388E-3</v>
      </c>
    </row>
  </sheetData>
  <mergeCells count="2">
    <mergeCell ref="X1:Y2"/>
    <mergeCell ref="N2:O3"/>
  </mergeCells>
  <dataValidations count="1">
    <dataValidation type="list" allowBlank="1" showInputMessage="1" showErrorMessage="1" sqref="X3:Y3" xr:uid="{8E7ABF5D-B27A-4847-AF7A-957A89F7BF3D}">
      <formula1>$B$1:$F$1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CENTRAL DIFFERENCE </vt:lpstr>
      <vt:lpstr>EL CENTRO 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Quophi_ababio</dc:creator>
  <cp:lastModifiedBy>Quophi_ababio</cp:lastModifiedBy>
  <dcterms:created xsi:type="dcterms:W3CDTF">2021-06-05T06:00:58Z</dcterms:created>
  <dcterms:modified xsi:type="dcterms:W3CDTF">2021-06-18T10:49:49Z</dcterms:modified>
</cp:coreProperties>
</file>